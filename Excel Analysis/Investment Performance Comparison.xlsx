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70BD1BDB-4F0D-44BD-A331-B19E9D19F626}" xr6:coauthVersionLast="47" xr6:coauthVersionMax="47" xr10:uidLastSave="{00000000-0000-0000-0000-000000000000}"/>
  <bookViews>
    <workbookView xWindow="-108" yWindow="-108" windowWidth="23256" windowHeight="12456" xr2:uid="{0659E4C0-EEEF-4E59-8686-052949BC0D7A}"/>
  </bookViews>
  <sheets>
    <sheet name="Performance 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F2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F3" i="1"/>
  <c r="F4" i="1"/>
  <c r="F5" i="1"/>
  <c r="F6" i="1"/>
  <c r="F7" i="1"/>
  <c r="F8" i="1"/>
  <c r="F9" i="1"/>
  <c r="F10" i="1"/>
  <c r="F11" i="1"/>
  <c r="F12" i="1"/>
  <c r="F13" i="1"/>
  <c r="F14" i="1" s="1"/>
  <c r="F15" i="1" s="1"/>
  <c r="F16" i="1" s="1"/>
  <c r="F17" i="1" s="1"/>
  <c r="F18" i="1" s="1"/>
  <c r="F19" i="1" s="1"/>
  <c r="F20" i="1" s="1"/>
  <c r="F21" i="1" s="1"/>
  <c r="F2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3" i="1"/>
  <c r="E2" i="1"/>
</calcChain>
</file>

<file path=xl/sharedStrings.xml><?xml version="1.0" encoding="utf-8"?>
<sst xmlns="http://schemas.openxmlformats.org/spreadsheetml/2006/main" count="7" uniqueCount="7">
  <si>
    <t>Year</t>
  </si>
  <si>
    <t>VTI(ETF) % of Performance</t>
  </si>
  <si>
    <t>SMH(ETF) % of Performance</t>
  </si>
  <si>
    <t>CD Average Return (%)</t>
  </si>
  <si>
    <t>10k investment example VTI</t>
  </si>
  <si>
    <t>10k investment example SMH</t>
  </si>
  <si>
    <t>10k investment example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</si>
</sst>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1" xfId="0" applyNumberFormat="1" applyBorder="1"/>
    <xf numFmtId="0" fontId="0" fillId="0" borderId="1" xfId="0" applyBorder="1"/>
    <xf numFmtId="0" fontId="0" fillId="0" borderId="2" xfId="0" applyFill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E155-8EE8-4FCF-9609-21F2509412F6}">
  <dimension ref="A1:G22"/>
  <sheetViews>
    <sheetView tabSelected="1" workbookViewId="0">
      <selection activeCell="J16" sqref="J16"/>
    </sheetView>
  </sheetViews>
  <sheetFormatPr defaultRowHeight="14.4" x14ac:dyDescent="0.3"/>
  <cols>
    <col min="2" max="2" width="22.77734375" customWidth="1"/>
    <col min="3" max="3" width="24.33203125" customWidth="1"/>
    <col min="4" max="4" width="19.6640625" customWidth="1"/>
    <col min="5" max="5" width="24.44140625" customWidth="1"/>
    <col min="6" max="6" width="25.33203125" customWidth="1"/>
    <col min="7" max="7" width="24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>
        <v>2006</v>
      </c>
      <c r="B2" s="1">
        <v>0.15509999999999999</v>
      </c>
      <c r="C2" s="1">
        <v>-4.7E-2</v>
      </c>
      <c r="D2" s="1">
        <v>3.9199999999999999E-2</v>
      </c>
      <c r="E2" s="4">
        <f>10000*(1+B2)</f>
        <v>11551</v>
      </c>
      <c r="F2" s="4">
        <f>10000*(1+C2)</f>
        <v>9530</v>
      </c>
      <c r="G2" s="4">
        <f>10000*(1+D2)</f>
        <v>10391.999999999998</v>
      </c>
    </row>
    <row r="3" spans="1:7" x14ac:dyDescent="0.3">
      <c r="A3" s="2">
        <v>2007</v>
      </c>
      <c r="B3" s="1">
        <v>4.6199999999999998E-2</v>
      </c>
      <c r="C3" s="1">
        <v>-4.0500000000000001E-2</v>
      </c>
      <c r="D3" s="1">
        <v>3.9199999999999999E-2</v>
      </c>
      <c r="E3" s="4">
        <f>E2*(1+B3)</f>
        <v>12084.656199999999</v>
      </c>
      <c r="F3" s="4">
        <f>F2*(1+C3)</f>
        <v>9144.0349999999999</v>
      </c>
      <c r="G3" s="4">
        <f>G2*(1+D3)</f>
        <v>10799.366399999997</v>
      </c>
    </row>
    <row r="4" spans="1:7" x14ac:dyDescent="0.3">
      <c r="A4" s="2">
        <v>2008</v>
      </c>
      <c r="B4" s="1">
        <v>-0.37380000000000002</v>
      </c>
      <c r="C4" s="1">
        <v>-0.57999999999999996</v>
      </c>
      <c r="D4" s="1">
        <v>3.9199999999999999E-2</v>
      </c>
      <c r="E4" s="4">
        <f t="shared" ref="E4:G22" si="0">E3*(1+B4)</f>
        <v>7567.4117124399991</v>
      </c>
      <c r="F4" s="4">
        <f t="shared" si="0"/>
        <v>3840.4947000000002</v>
      </c>
      <c r="G4" s="4">
        <f t="shared" si="0"/>
        <v>11222.701562879996</v>
      </c>
    </row>
    <row r="5" spans="1:7" x14ac:dyDescent="0.3">
      <c r="A5" s="2">
        <v>2009</v>
      </c>
      <c r="B5" s="1">
        <v>0.26100000000000001</v>
      </c>
      <c r="C5" s="1">
        <v>0.97840000000000005</v>
      </c>
      <c r="D5" s="1">
        <v>3.9199999999999999E-2</v>
      </c>
      <c r="E5" s="4">
        <f t="shared" si="0"/>
        <v>9542.5061693868392</v>
      </c>
      <c r="F5" s="4">
        <f t="shared" si="0"/>
        <v>7598.0347144800007</v>
      </c>
      <c r="G5" s="4">
        <f t="shared" si="0"/>
        <v>11662.631464144892</v>
      </c>
    </row>
    <row r="6" spans="1:7" x14ac:dyDescent="0.3">
      <c r="A6" s="2">
        <v>2010</v>
      </c>
      <c r="B6" s="1">
        <v>0.15110000000000001</v>
      </c>
      <c r="C6" s="1">
        <v>0.24360000000000001</v>
      </c>
      <c r="D6" s="1">
        <v>3.9199999999999999E-2</v>
      </c>
      <c r="E6" s="4">
        <f t="shared" si="0"/>
        <v>10984.37885158119</v>
      </c>
      <c r="F6" s="4">
        <f t="shared" si="0"/>
        <v>9448.9159709273299</v>
      </c>
      <c r="G6" s="4">
        <f t="shared" si="0"/>
        <v>12119.806617539371</v>
      </c>
    </row>
    <row r="7" spans="1:7" x14ac:dyDescent="0.3">
      <c r="A7" s="2">
        <v>2011</v>
      </c>
      <c r="B7" s="1">
        <v>-1.1999999999999999E-3</v>
      </c>
      <c r="C7" s="1">
        <v>-7.8899999999999998E-2</v>
      </c>
      <c r="D7" s="1">
        <v>3.9199999999999999E-2</v>
      </c>
      <c r="E7" s="4">
        <f t="shared" si="0"/>
        <v>10971.197596959293</v>
      </c>
      <c r="F7" s="4">
        <f t="shared" si="0"/>
        <v>8703.3965008211635</v>
      </c>
      <c r="G7" s="4">
        <f t="shared" si="0"/>
        <v>12594.903036946913</v>
      </c>
    </row>
    <row r="8" spans="1:7" x14ac:dyDescent="0.3">
      <c r="A8" s="2">
        <v>2012</v>
      </c>
      <c r="B8" s="1">
        <v>0.13880000000000001</v>
      </c>
      <c r="C8" s="1">
        <v>0.2175</v>
      </c>
      <c r="D8" s="1">
        <v>3.9199999999999999E-2</v>
      </c>
      <c r="E8" s="4">
        <f t="shared" si="0"/>
        <v>12493.999823417244</v>
      </c>
      <c r="F8" s="4">
        <f t="shared" si="0"/>
        <v>10596.385239749767</v>
      </c>
      <c r="G8" s="4">
        <f t="shared" si="0"/>
        <v>13088.62323599523</v>
      </c>
    </row>
    <row r="9" spans="1:7" x14ac:dyDescent="0.3">
      <c r="A9" s="2">
        <v>2013</v>
      </c>
      <c r="B9" s="1">
        <v>0.31330000000000002</v>
      </c>
      <c r="C9" s="1">
        <v>0.158</v>
      </c>
      <c r="D9" s="1">
        <v>3.9199999999999999E-2</v>
      </c>
      <c r="E9" s="4">
        <f t="shared" si="0"/>
        <v>16408.369968093866</v>
      </c>
      <c r="F9" s="4">
        <f t="shared" si="0"/>
        <v>12270.614107630228</v>
      </c>
      <c r="G9" s="4">
        <f t="shared" si="0"/>
        <v>13601.697266846242</v>
      </c>
    </row>
    <row r="10" spans="1:7" x14ac:dyDescent="0.3">
      <c r="A10" s="2">
        <v>2014</v>
      </c>
      <c r="B10" s="1">
        <v>0.106</v>
      </c>
      <c r="C10" s="1">
        <v>0.24859999999999999</v>
      </c>
      <c r="D10" s="1">
        <v>3.9199999999999999E-2</v>
      </c>
      <c r="E10" s="4">
        <f t="shared" si="0"/>
        <v>18147.657184711818</v>
      </c>
      <c r="F10" s="4">
        <f t="shared" si="0"/>
        <v>15321.088774787102</v>
      </c>
      <c r="G10" s="4">
        <f t="shared" si="0"/>
        <v>14134.883799706613</v>
      </c>
    </row>
    <row r="11" spans="1:7" x14ac:dyDescent="0.3">
      <c r="A11" s="2">
        <v>2015</v>
      </c>
      <c r="B11" s="1">
        <v>-1.18E-2</v>
      </c>
      <c r="C11" s="1">
        <v>-3.2599999999999997E-2</v>
      </c>
      <c r="D11" s="1">
        <v>3.9199999999999999E-2</v>
      </c>
      <c r="E11" s="4">
        <f t="shared" si="0"/>
        <v>17933.514829932217</v>
      </c>
      <c r="F11" s="4">
        <f t="shared" si="0"/>
        <v>14821.621280729043</v>
      </c>
      <c r="G11" s="4">
        <f t="shared" si="0"/>
        <v>14688.971244655111</v>
      </c>
    </row>
    <row r="12" spans="1:7" x14ac:dyDescent="0.3">
      <c r="A12" s="2">
        <v>2016</v>
      </c>
      <c r="B12" s="1">
        <v>0.1051</v>
      </c>
      <c r="C12" s="1">
        <v>0.34279999999999999</v>
      </c>
      <c r="D12" s="1">
        <v>3.9199999999999999E-2</v>
      </c>
      <c r="E12" s="4">
        <f t="shared" si="0"/>
        <v>19818.327238558093</v>
      </c>
      <c r="F12" s="4">
        <f t="shared" si="0"/>
        <v>19902.473055762959</v>
      </c>
      <c r="G12" s="4">
        <f t="shared" si="0"/>
        <v>15264.77891744559</v>
      </c>
    </row>
    <row r="13" spans="1:7" x14ac:dyDescent="0.3">
      <c r="A13" s="2">
        <v>2017</v>
      </c>
      <c r="B13" s="1">
        <v>0.1933</v>
      </c>
      <c r="C13" s="1">
        <v>0.46839999999999998</v>
      </c>
      <c r="D13" s="1">
        <v>3.9199999999999999E-2</v>
      </c>
      <c r="E13" s="4">
        <f t="shared" si="0"/>
        <v>23649.209893771374</v>
      </c>
      <c r="F13" s="4">
        <f t="shared" si="0"/>
        <v>29224.791435082327</v>
      </c>
      <c r="G13" s="4">
        <f t="shared" si="0"/>
        <v>15863.158251009456</v>
      </c>
    </row>
    <row r="14" spans="1:7" x14ac:dyDescent="0.3">
      <c r="A14" s="2">
        <v>2018</v>
      </c>
      <c r="B14" s="1">
        <v>-5.5100000000000003E-2</v>
      </c>
      <c r="C14" s="1">
        <v>-0.17610000000000001</v>
      </c>
      <c r="D14" s="1">
        <v>3.9199999999999999E-2</v>
      </c>
      <c r="E14" s="4">
        <f t="shared" si="0"/>
        <v>22346.13842862457</v>
      </c>
      <c r="F14" s="4">
        <f t="shared" si="0"/>
        <v>24078.305663364328</v>
      </c>
      <c r="G14" s="4">
        <f t="shared" si="0"/>
        <v>16484.994054449024</v>
      </c>
    </row>
    <row r="15" spans="1:7" x14ac:dyDescent="0.3">
      <c r="A15" s="2">
        <v>2019</v>
      </c>
      <c r="B15" s="1">
        <v>0.28710000000000002</v>
      </c>
      <c r="C15" s="1">
        <v>0.64570000000000005</v>
      </c>
      <c r="D15" s="1">
        <v>3.9199999999999999E-2</v>
      </c>
      <c r="E15" s="4">
        <f t="shared" si="0"/>
        <v>28761.714771482686</v>
      </c>
      <c r="F15" s="4">
        <f t="shared" si="0"/>
        <v>39625.667630198681</v>
      </c>
      <c r="G15" s="4">
        <f t="shared" si="0"/>
        <v>17131.205821383424</v>
      </c>
    </row>
    <row r="16" spans="1:7" x14ac:dyDescent="0.3">
      <c r="A16" s="2">
        <v>2020</v>
      </c>
      <c r="B16" s="1">
        <v>0.19339999999999999</v>
      </c>
      <c r="C16" s="1">
        <v>0.53069999999999995</v>
      </c>
      <c r="D16" s="1">
        <v>3.9199999999999999E-2</v>
      </c>
      <c r="E16" s="4">
        <f t="shared" si="0"/>
        <v>34324.23040828744</v>
      </c>
      <c r="F16" s="4">
        <f t="shared" si="0"/>
        <v>60655.009441545117</v>
      </c>
      <c r="G16" s="4">
        <f t="shared" si="0"/>
        <v>17802.749089581652</v>
      </c>
    </row>
    <row r="17" spans="1:7" x14ac:dyDescent="0.3">
      <c r="A17" s="2">
        <v>2021</v>
      </c>
      <c r="B17" s="1">
        <v>0.23860000000000001</v>
      </c>
      <c r="C17" s="1">
        <v>0.4113</v>
      </c>
      <c r="D17" s="1">
        <v>3.9199999999999999E-2</v>
      </c>
      <c r="E17" s="4">
        <f t="shared" si="0"/>
        <v>42513.99178370482</v>
      </c>
      <c r="F17" s="4">
        <f t="shared" si="0"/>
        <v>85602.414824852618</v>
      </c>
      <c r="G17" s="4">
        <f t="shared" si="0"/>
        <v>18500.616853893251</v>
      </c>
    </row>
    <row r="18" spans="1:7" x14ac:dyDescent="0.3">
      <c r="A18" s="2">
        <v>2022</v>
      </c>
      <c r="B18" s="1">
        <v>-0.1991</v>
      </c>
      <c r="C18" s="1">
        <v>-0.3488</v>
      </c>
      <c r="D18" s="1">
        <v>3.9199999999999999E-2</v>
      </c>
      <c r="E18" s="4">
        <f t="shared" si="0"/>
        <v>34049.456019569188</v>
      </c>
      <c r="F18" s="4">
        <f t="shared" si="0"/>
        <v>55744.292533944026</v>
      </c>
      <c r="G18" s="4">
        <f t="shared" si="0"/>
        <v>19225.841034565863</v>
      </c>
    </row>
    <row r="19" spans="1:7" x14ac:dyDescent="0.3">
      <c r="A19" s="2">
        <v>2023</v>
      </c>
      <c r="B19" s="1">
        <v>0.24030000000000001</v>
      </c>
      <c r="C19" s="1">
        <v>0.74229999999999996</v>
      </c>
      <c r="D19" s="1">
        <v>3.9199999999999999E-2</v>
      </c>
      <c r="E19" s="4">
        <f t="shared" si="0"/>
        <v>42231.540301071662</v>
      </c>
      <c r="F19" s="4">
        <f t="shared" si="0"/>
        <v>97123.280881890678</v>
      </c>
      <c r="G19" s="4">
        <f t="shared" si="0"/>
        <v>19979.494003120843</v>
      </c>
    </row>
    <row r="20" spans="1:7" x14ac:dyDescent="0.3">
      <c r="A20" s="2">
        <v>2024</v>
      </c>
      <c r="B20" s="1">
        <v>0.14649999999999999</v>
      </c>
      <c r="C20" s="1">
        <v>0.34699999999999998</v>
      </c>
      <c r="D20" s="1">
        <v>3.9199999999999999E-2</v>
      </c>
      <c r="E20" s="4">
        <f t="shared" si="0"/>
        <v>48418.460955178663</v>
      </c>
      <c r="F20" s="4">
        <f t="shared" si="0"/>
        <v>130825.05934790675</v>
      </c>
      <c r="G20" s="4">
        <f t="shared" si="0"/>
        <v>20762.690168043177</v>
      </c>
    </row>
    <row r="21" spans="1:7" x14ac:dyDescent="0.3">
      <c r="A21" s="2">
        <v>2025</v>
      </c>
      <c r="B21" s="1">
        <v>0.26040000000000002</v>
      </c>
      <c r="C21" s="1">
        <v>0.5212</v>
      </c>
      <c r="D21" s="1">
        <v>3.9199999999999999E-2</v>
      </c>
      <c r="E21" s="4">
        <f t="shared" si="0"/>
        <v>61026.628187907183</v>
      </c>
      <c r="F21" s="4">
        <f t="shared" si="0"/>
        <v>199011.08028003573</v>
      </c>
      <c r="G21" s="4">
        <f t="shared" si="0"/>
        <v>21576.587622630468</v>
      </c>
    </row>
    <row r="22" spans="1:7" x14ac:dyDescent="0.3">
      <c r="A22" s="2">
        <v>2026</v>
      </c>
      <c r="B22" s="1">
        <v>-1.15E-2</v>
      </c>
      <c r="C22" s="1">
        <v>0.1197</v>
      </c>
      <c r="D22" s="1">
        <v>3.9199999999999999E-2</v>
      </c>
      <c r="E22" s="4">
        <f t="shared" si="0"/>
        <v>60324.821963746253</v>
      </c>
      <c r="F22" s="4">
        <f t="shared" si="0"/>
        <v>222832.70658955601</v>
      </c>
      <c r="G22" s="4">
        <f t="shared" si="0"/>
        <v>22422.389857437582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2026-02-16T20:56:22Z</dcterms:created>
  <dcterms:modified xsi:type="dcterms:W3CDTF">2026-02-18T04:22:37Z</dcterms:modified>
</cp:coreProperties>
</file>