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2DC8A67B-CFF7-4EFD-A242-255BD51C6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" sheetId="5" r:id="rId1"/>
    <sheet name="VTI Evolución Anual de Precios " sheetId="1" r:id="rId2"/>
    <sheet name="Chart of Close Range" sheetId="2" r:id="rId3"/>
    <sheet name="Investment exampl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 a="1"/>
  <c r="B6" i="4" s="1"/>
  <c r="B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<sst xmlns="http://schemas.openxmlformats.org/spreadsheetml/2006/main" count="21" uniqueCount="11">
  <si>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2026 (YTD)</t>
  </si>
  <si>
    <t>Year</t>
  </si>
  <si>
    <t>Open ($)</t>
  </si>
  <si>
    <t>Close ($)</t>
  </si>
  <si>
    <t>Annual Performance (%)</t>
  </si>
  <si>
    <t>Invest</t>
  </si>
  <si>
    <t>%</t>
  </si>
  <si>
    <t>Final capital</t>
  </si>
  <si>
    <t>Total profit</t>
  </si>
  <si>
    <t>Annual Performance(%)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</si>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</sst>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3" fillId="3" borderId="4" xfId="0" applyFont="1" applyFill="1" applyBorder="1"/>
    <xf numFmtId="44" fontId="0" fillId="0" borderId="4" xfId="1" applyFont="1" applyBorder="1" applyAlignment="1"/>
    <xf numFmtId="0" fontId="0" fillId="0" borderId="0" xfId="0"/>
    <xf numFmtId="0" fontId="0" fillId="3" borderId="4" xfId="0" applyFill="1" applyBorder="1"/>
    <xf numFmtId="0" fontId="0" fillId="0" borderId="4" xfId="0" applyBorder="1"/>
    <xf numFmtId="0" fontId="0" fillId="0" borderId="4" xfId="0" applyFont="1" applyBorder="1" applyAlignment="1"/>
    <xf numFmtId="0" fontId="0" fillId="4" borderId="4" xfId="0" applyFont="1" applyFill="1" applyBorder="1" applyAlignment="1"/>
    <xf numFmtId="0" fontId="0" fillId="0" borderId="5" xfId="0" applyBorder="1"/>
    <xf numFmtId="0" fontId="0" fillId="0" borderId="0" xfId="0" applyBorder="1"/>
    <xf numFmtId="10" fontId="0" fillId="0" borderId="0" xfId="2" applyNumberFormat="1" applyFont="1" applyBorder="1" applyAlignment="1"/>
    <xf numFmtId="10" fontId="0" fillId="0" borderId="4" xfId="2" applyNumberFormat="1" applyFont="1" applyBorder="1" applyAlignment="1"/>
    <xf numFmtId="0" fontId="1" fillId="0" borderId="0" xfId="0" applyFont="1"/>
    <xf numFmtId="10" fontId="1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Close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'VTI Evolución Anual de Precios '!$A$2:$A$22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'VTI Evolución Anual de Precios '!$C$2:$C$22</c:f>
              <c:numCache>
                <c:formatCode>General</c:formatCode>
                <c:ptCount val="21"/>
                <c:pt idx="0">
                  <c:v>63.45</c:v>
                </c:pt>
                <c:pt idx="1">
                  <c:v>66.38</c:v>
                </c:pt>
                <c:pt idx="2">
                  <c:v>41.57</c:v>
                </c:pt>
                <c:pt idx="3">
                  <c:v>52.42</c:v>
                </c:pt>
                <c:pt idx="4">
                  <c:v>60.34</c:v>
                </c:pt>
                <c:pt idx="5">
                  <c:v>60.27</c:v>
                </c:pt>
                <c:pt idx="6">
                  <c:v>68.64</c:v>
                </c:pt>
                <c:pt idx="7">
                  <c:v>90.14</c:v>
                </c:pt>
                <c:pt idx="8">
                  <c:v>99.7</c:v>
                </c:pt>
                <c:pt idx="9">
                  <c:v>98.52</c:v>
                </c:pt>
                <c:pt idx="10">
                  <c:v>108.87</c:v>
                </c:pt>
                <c:pt idx="11">
                  <c:v>129.91999999999999</c:v>
                </c:pt>
                <c:pt idx="12">
                  <c:v>122.76</c:v>
                </c:pt>
                <c:pt idx="13">
                  <c:v>158</c:v>
                </c:pt>
                <c:pt idx="14">
                  <c:v>188.56</c:v>
                </c:pt>
                <c:pt idx="15">
                  <c:v>233.55</c:v>
                </c:pt>
                <c:pt idx="16">
                  <c:v>187.06</c:v>
                </c:pt>
                <c:pt idx="17">
                  <c:v>232.01</c:v>
                </c:pt>
                <c:pt idx="18">
                  <c:v>266.01</c:v>
                </c:pt>
                <c:pt idx="19">
                  <c:v>335.27</c:v>
                </c:pt>
                <c:pt idx="20">
                  <c:v>336.65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F-49C9-989B-02005C831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963311"/>
        <c:axId val="13169624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'VTI Evolución Anual de Precios 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  <c:pt idx="19">
                        <c:v>2025</c:v>
                      </c:pt>
                      <c:pt idx="20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'VTI Evolución Anual de Precios '!$B$2:$B$22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55.03</c:v>
                      </c:pt>
                      <c:pt idx="1">
                        <c:v>63.8</c:v>
                      </c:pt>
                      <c:pt idx="2">
                        <c:v>66.819999999999993</c:v>
                      </c:pt>
                      <c:pt idx="3">
                        <c:v>42.66</c:v>
                      </c:pt>
                      <c:pt idx="4">
                        <c:v>53.07</c:v>
                      </c:pt>
                      <c:pt idx="5">
                        <c:v>61.42</c:v>
                      </c:pt>
                      <c:pt idx="6">
                        <c:v>61.27</c:v>
                      </c:pt>
                      <c:pt idx="7">
                        <c:v>70.38</c:v>
                      </c:pt>
                      <c:pt idx="8">
                        <c:v>91.95</c:v>
                      </c:pt>
                      <c:pt idx="9">
                        <c:v>106</c:v>
                      </c:pt>
                      <c:pt idx="10">
                        <c:v>104.38</c:v>
                      </c:pt>
                      <c:pt idx="11">
                        <c:v>110.45</c:v>
                      </c:pt>
                      <c:pt idx="12">
                        <c:v>137.52000000000001</c:v>
                      </c:pt>
                      <c:pt idx="13">
                        <c:v>120.3</c:v>
                      </c:pt>
                      <c:pt idx="14">
                        <c:v>163.76</c:v>
                      </c:pt>
                      <c:pt idx="15">
                        <c:v>191.03</c:v>
                      </c:pt>
                      <c:pt idx="16">
                        <c:v>240.5</c:v>
                      </c:pt>
                      <c:pt idx="17">
                        <c:v>188.59</c:v>
                      </c:pt>
                      <c:pt idx="18">
                        <c:v>232.06</c:v>
                      </c:pt>
                      <c:pt idx="19">
                        <c:v>266.3</c:v>
                      </c:pt>
                      <c:pt idx="20">
                        <c:v>337.15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F-49C9-989B-02005C83104C}"/>
                  </c:ext>
                </c:extLst>
              </c15:ser>
            </c15:filteredLineSeries>
          </c:ext>
        </c:extLst>
      </c:lineChart>
      <c:catAx>
        <c:axId val="13169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2479"/>
        <c:crosses val="autoZero"/>
        <c:auto val="1"/>
        <c:lblAlgn val="ctr"/>
        <c:lblOffset val="100"/>
        <c:noMultiLvlLbl val="0"/>
      </c:catAx>
      <c:valAx>
        <c:axId val="13169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5E73A4-A8AD-4E44-AA3D-B2C44E55D514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573D6-BC46-43A1-A97D-848A279B8E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er Novas" refreshedDate="46052.941231365738" createdVersion="7" refreshedVersion="7" minRefreshableVersion="3" recordCount="21" xr:uid="{768C4683-9D1D-4A6D-B7EC-D955FF170A3D}">
  <cacheSource type="worksheet">
    <worksheetSource ref="A1:D22" sheet="VTI Evolución Anual de Precios "/>
  </cacheSource>
  <cacheFields count="4">
    <cacheField name="Year" numFmtId="0">
      <sharedItems containsMixedTypes="1" containsNumber="1" containsInteger="1" minValue="2006" maxValue="2025" count="21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s v="2026 (YTD)"/>
      </sharedItems>
    </cacheField>
    <cacheField name="Open ($)" numFmtId="0">
      <sharedItems containsSemiMixedTypes="0" containsString="0" containsNumber="1" minValue="13.9" maxValue="368.96"/>
    </cacheField>
    <cacheField name="Close ($)" numFmtId="0">
      <sharedItems containsSemiMixedTypes="0" containsString="0" containsNumber="1" minValue="13.9" maxValue="403.25"/>
    </cacheField>
    <cacheField name="Annual Performance (%)" numFmtId="10">
      <sharedItems containsSemiMixedTypes="0" containsString="0" containsNumber="1" minValue="-0.57999999999999996" maxValue="0.978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36.200000000000003"/>
    <n v="34.5"/>
    <n v="-4.7E-2"/>
  </r>
  <r>
    <x v="1"/>
    <n v="34.5"/>
    <n v="33.1"/>
    <n v="-4.0500000000000001E-2"/>
  </r>
  <r>
    <x v="2"/>
    <n v="33.1"/>
    <n v="13.9"/>
    <n v="-0.57999999999999996"/>
  </r>
  <r>
    <x v="3"/>
    <n v="13.9"/>
    <n v="27.5"/>
    <n v="0.97840000000000005"/>
  </r>
  <r>
    <x v="4"/>
    <n v="27.5"/>
    <n v="34.200000000000003"/>
    <n v="0.24360000000000001"/>
  </r>
  <r>
    <x v="5"/>
    <n v="34.200000000000003"/>
    <n v="31.5"/>
    <n v="-7.8899999999999998E-2"/>
  </r>
  <r>
    <x v="6"/>
    <n v="31.5"/>
    <n v="38.35"/>
    <n v="0.2175"/>
  </r>
  <r>
    <x v="7"/>
    <n v="38.35"/>
    <n v="44.41"/>
    <n v="0.158"/>
  </r>
  <r>
    <x v="8"/>
    <n v="44.41"/>
    <n v="55.45"/>
    <n v="0.24859999999999999"/>
  </r>
  <r>
    <x v="9"/>
    <n v="55.45"/>
    <n v="53.64"/>
    <n v="-3.2599999999999997E-2"/>
  </r>
  <r>
    <x v="10"/>
    <n v="53.64"/>
    <n v="72.03"/>
    <n v="0.34279999999999999"/>
  </r>
  <r>
    <x v="11"/>
    <n v="72.03"/>
    <n v="105.77"/>
    <n v="0.46839999999999998"/>
  </r>
  <r>
    <x v="12"/>
    <n v="105.77"/>
    <n v="87.14"/>
    <n v="-0.17610000000000001"/>
  </r>
  <r>
    <x v="13"/>
    <n v="87.89"/>
    <n v="143.41"/>
    <n v="0.64570000000000005"/>
  </r>
  <r>
    <x v="14"/>
    <n v="142"/>
    <n v="219.52"/>
    <n v="0.53069999999999995"/>
  </r>
  <r>
    <x v="15"/>
    <n v="221.43"/>
    <n v="309.81"/>
    <n v="0.4113"/>
  </r>
  <r>
    <x v="16"/>
    <n v="309.83"/>
    <n v="201.75"/>
    <n v="-0.3488"/>
  </r>
  <r>
    <x v="17"/>
    <n v="106.84"/>
    <n v="175.75"/>
    <n v="0.74229999999999996"/>
  </r>
  <r>
    <x v="18"/>
    <n v="175.76"/>
    <n v="236.74"/>
    <n v="0.34699999999999998"/>
  </r>
  <r>
    <x v="19"/>
    <n v="240.24"/>
    <n v="360.13"/>
    <n v="0.5212"/>
  </r>
  <r>
    <x v="20"/>
    <n v="368.96"/>
    <n v="403.25"/>
    <n v="0.1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6935A-3962-4D2A-BCF1-9766244E1FAF}" name="PivotTable7" cacheId="0" applyNumberFormats="0" applyBorderFormats="0" applyFontFormats="0" applyPatternFormats="0" applyAlignmentFormats="0" applyWidthHeightFormats="1" dataCaption="Values" grandTotalCaption="Average " updatedVersion="7" minRefreshableVersion="3" useAutoFormatting="1" itemPrintTitles="1" createdVersion="7" indent="0" outline="1" outlineData="1" multipleFieldFilters="0" rowHeaderCaption="Year">
  <location ref="F1:G23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numFmtId="1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nnual Performance(%)" fld="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D4B9-1F4C-4DE5-A309-FCC82B2D1958}">
  <dimension ref="B1:E22"/>
  <sheetViews>
    <sheetView tabSelected="1" workbookViewId="0">
      <selection activeCell="K7" sqref="K7"/>
    </sheetView>
  </sheetViews>
  <sheetFormatPr defaultRowHeight="13.2" x14ac:dyDescent="0.25"/>
  <cols>
    <col min="1" max="1" width="8.77734375" customWidth="1"/>
    <col min="2" max="2" width="11.109375" customWidth="1"/>
    <col min="3" max="3" width="12.44140625" customWidth="1"/>
    <col min="4" max="4" width="14" customWidth="1"/>
    <col min="5" max="5" width="21.5546875" bestFit="1" customWidth="1"/>
  </cols>
  <sheetData>
    <row r="1" spans="2:5" x14ac:dyDescent="0.25">
      <c r="B1" s="15" t="s">
        <v>1</v>
      </c>
      <c r="C1" s="15" t="s">
        <v>2</v>
      </c>
      <c r="D1" s="15" t="s">
        <v>3</v>
      </c>
      <c r="E1" s="15" t="s">
        <v>4</v>
      </c>
    </row>
    <row r="2" spans="2:5" x14ac:dyDescent="0.25">
      <c r="B2" s="14">
        <v>2006</v>
      </c>
      <c r="C2" s="14">
        <v>55.03</v>
      </c>
      <c r="D2" s="14">
        <v>63.45</v>
      </c>
      <c r="E2" s="19">
        <v>0.15509999999999999</v>
      </c>
    </row>
    <row r="3" spans="2:5" x14ac:dyDescent="0.25">
      <c r="B3" s="14">
        <v>2007</v>
      </c>
      <c r="C3" s="14">
        <v>63.8</v>
      </c>
      <c r="D3" s="14">
        <v>66.38</v>
      </c>
      <c r="E3" s="19">
        <v>4.6199999999999998E-2</v>
      </c>
    </row>
    <row r="4" spans="2:5" x14ac:dyDescent="0.25">
      <c r="B4" s="14">
        <v>2008</v>
      </c>
      <c r="C4" s="14">
        <v>66.819999999999993</v>
      </c>
      <c r="D4" s="14">
        <v>41.57</v>
      </c>
      <c r="E4" s="19">
        <v>-0.37380000000000002</v>
      </c>
    </row>
    <row r="5" spans="2:5" x14ac:dyDescent="0.25">
      <c r="B5" s="14">
        <v>2009</v>
      </c>
      <c r="C5" s="14">
        <v>42.66</v>
      </c>
      <c r="D5" s="14">
        <v>52.42</v>
      </c>
      <c r="E5" s="19">
        <v>0.26100000000000001</v>
      </c>
    </row>
    <row r="6" spans="2:5" x14ac:dyDescent="0.25">
      <c r="B6" s="14">
        <v>2010</v>
      </c>
      <c r="C6" s="14">
        <v>53.07</v>
      </c>
      <c r="D6" s="14">
        <v>60.34</v>
      </c>
      <c r="E6" s="19">
        <v>0.15110000000000001</v>
      </c>
    </row>
    <row r="7" spans="2:5" x14ac:dyDescent="0.25">
      <c r="B7" s="14">
        <v>2011</v>
      </c>
      <c r="C7" s="14">
        <v>61.42</v>
      </c>
      <c r="D7" s="14">
        <v>60.27</v>
      </c>
      <c r="E7" s="19">
        <v>-1.1999999999999999E-3</v>
      </c>
    </row>
    <row r="8" spans="2:5" x14ac:dyDescent="0.25">
      <c r="B8" s="14">
        <v>2012</v>
      </c>
      <c r="C8" s="14">
        <v>61.27</v>
      </c>
      <c r="D8" s="14">
        <v>68.64</v>
      </c>
      <c r="E8" s="19">
        <v>0.13880000000000001</v>
      </c>
    </row>
    <row r="9" spans="2:5" x14ac:dyDescent="0.25">
      <c r="B9" s="14">
        <v>2013</v>
      </c>
      <c r="C9" s="14">
        <v>70.38</v>
      </c>
      <c r="D9" s="14">
        <v>90.14</v>
      </c>
      <c r="E9" s="19">
        <v>0.31330000000000002</v>
      </c>
    </row>
    <row r="10" spans="2:5" x14ac:dyDescent="0.25">
      <c r="B10" s="14">
        <v>2014</v>
      </c>
      <c r="C10" s="14">
        <v>91.95</v>
      </c>
      <c r="D10" s="14">
        <v>99.7</v>
      </c>
      <c r="E10" s="19">
        <v>0.106</v>
      </c>
    </row>
    <row r="11" spans="2:5" x14ac:dyDescent="0.25">
      <c r="B11" s="14">
        <v>2015</v>
      </c>
      <c r="C11" s="14">
        <v>106</v>
      </c>
      <c r="D11" s="14">
        <v>98.52</v>
      </c>
      <c r="E11" s="19">
        <v>-1.18E-2</v>
      </c>
    </row>
    <row r="12" spans="2:5" x14ac:dyDescent="0.25">
      <c r="B12" s="14">
        <v>2016</v>
      </c>
      <c r="C12" s="14">
        <v>104.38</v>
      </c>
      <c r="D12" s="14">
        <v>108.87</v>
      </c>
      <c r="E12" s="19">
        <v>0.1051</v>
      </c>
    </row>
    <row r="13" spans="2:5" x14ac:dyDescent="0.25">
      <c r="B13" s="14">
        <v>2017</v>
      </c>
      <c r="C13" s="14">
        <v>110.45</v>
      </c>
      <c r="D13" s="14">
        <v>129.91999999999999</v>
      </c>
      <c r="E13" s="19">
        <v>0.1933</v>
      </c>
    </row>
    <row r="14" spans="2:5" x14ac:dyDescent="0.25">
      <c r="B14" s="14">
        <v>2018</v>
      </c>
      <c r="C14" s="14">
        <v>137.52000000000001</v>
      </c>
      <c r="D14" s="14">
        <v>122.76</v>
      </c>
      <c r="E14" s="19">
        <v>-5.5100000000000003E-2</v>
      </c>
    </row>
    <row r="15" spans="2:5" x14ac:dyDescent="0.25">
      <c r="B15" s="14">
        <v>2019</v>
      </c>
      <c r="C15" s="14">
        <v>120.3</v>
      </c>
      <c r="D15" s="14">
        <v>158</v>
      </c>
      <c r="E15" s="19">
        <v>0.28710000000000002</v>
      </c>
    </row>
    <row r="16" spans="2:5" x14ac:dyDescent="0.25">
      <c r="B16" s="14">
        <v>2020</v>
      </c>
      <c r="C16" s="14">
        <v>163.76</v>
      </c>
      <c r="D16" s="14">
        <v>188.56</v>
      </c>
      <c r="E16" s="19">
        <v>0.19339999999999999</v>
      </c>
    </row>
    <row r="17" spans="2:5" x14ac:dyDescent="0.25">
      <c r="B17" s="14">
        <v>2021</v>
      </c>
      <c r="C17" s="14">
        <v>191.03</v>
      </c>
      <c r="D17" s="14">
        <v>233.55</v>
      </c>
      <c r="E17" s="19">
        <v>0.23860000000000001</v>
      </c>
    </row>
    <row r="18" spans="2:5" x14ac:dyDescent="0.25">
      <c r="B18" s="14">
        <v>2022</v>
      </c>
      <c r="C18" s="14">
        <v>240.5</v>
      </c>
      <c r="D18" s="14">
        <v>187.06</v>
      </c>
      <c r="E18" s="19">
        <v>-0.1991</v>
      </c>
    </row>
    <row r="19" spans="2:5" x14ac:dyDescent="0.25">
      <c r="B19" s="14">
        <v>2023</v>
      </c>
      <c r="C19" s="14">
        <v>188.59</v>
      </c>
      <c r="D19" s="14">
        <v>232.01</v>
      </c>
      <c r="E19" s="19">
        <v>0.24030000000000001</v>
      </c>
    </row>
    <row r="20" spans="2:5" x14ac:dyDescent="0.25">
      <c r="B20" s="14">
        <v>2024</v>
      </c>
      <c r="C20" s="14">
        <v>232.06</v>
      </c>
      <c r="D20" s="14">
        <v>266.01</v>
      </c>
      <c r="E20" s="19">
        <v>0.14649999999999999</v>
      </c>
    </row>
    <row r="21" spans="2:5" x14ac:dyDescent="0.25">
      <c r="B21" s="14">
        <v>2025</v>
      </c>
      <c r="C21" s="14">
        <v>266.3</v>
      </c>
      <c r="D21" s="14">
        <v>335.27</v>
      </c>
      <c r="E21" s="19">
        <v>0.26040000000000002</v>
      </c>
    </row>
    <row r="22" spans="2:5" x14ac:dyDescent="0.25">
      <c r="B22" s="14">
        <v>2026</v>
      </c>
      <c r="C22" s="14">
        <v>337.15</v>
      </c>
      <c r="D22" s="14">
        <v>336.65</v>
      </c>
      <c r="E22" s="19">
        <v>-1.15E-2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2"/>
  <sheetViews>
    <sheetView topLeftCell="A31" workbookViewId="0">
      <selection activeCell="G39" sqref="G39"/>
    </sheetView>
  </sheetViews>
  <sheetFormatPr defaultColWidth="12.6640625" defaultRowHeight="15.75" customHeight="1" x14ac:dyDescent="0.25"/>
  <cols>
    <col min="4" max="4" width="21.77734375" customWidth="1"/>
    <col min="6" max="6" width="15.44140625" bestFit="1" customWidth="1"/>
    <col min="7" max="7" width="32.77734375" bestFit="1" customWidth="1"/>
  </cols>
  <sheetData>
    <row r="1" spans="1:9" ht="13.2" x14ac:dyDescent="0.25">
      <c r="A1" s="3" t="s">
        <v>1</v>
      </c>
      <c r="B1" s="4" t="s">
        <v>2</v>
      </c>
      <c r="C1" s="4" t="s">
        <v>3</v>
      </c>
      <c r="D1" s="5" t="s">
        <v>4</v>
      </c>
      <c r="F1" s="6" t="s">
        <v>1</v>
      </c>
      <c r="G1" t="s">
        <v>9</v>
      </c>
    </row>
    <row r="2" spans="1:9" ht="13.2" x14ac:dyDescent="0.25">
      <c r="A2" s="1">
        <v>2006</v>
      </c>
      <c r="B2" s="14">
        <v>55.03</v>
      </c>
      <c r="C2" s="14">
        <v>63.45</v>
      </c>
      <c r="D2" s="19">
        <v>0.15509999999999999</v>
      </c>
      <c r="F2" s="7">
        <v>2006</v>
      </c>
      <c r="G2" s="8">
        <v>-4.7E-2</v>
      </c>
    </row>
    <row r="3" spans="1:9" ht="13.2" x14ac:dyDescent="0.25">
      <c r="A3" s="1">
        <v>2007</v>
      </c>
      <c r="B3" s="14">
        <v>63.8</v>
      </c>
      <c r="C3" s="14">
        <v>66.38</v>
      </c>
      <c r="D3" s="19">
        <v>4.6199999999999998E-2</v>
      </c>
      <c r="F3" s="7">
        <v>2007</v>
      </c>
      <c r="G3" s="8">
        <v>-4.0500000000000001E-2</v>
      </c>
      <c r="I3" s="8"/>
    </row>
    <row r="4" spans="1:9" ht="13.2" x14ac:dyDescent="0.25">
      <c r="A4" s="1">
        <v>2008</v>
      </c>
      <c r="B4" s="14">
        <v>66.819999999999993</v>
      </c>
      <c r="C4" s="14">
        <v>41.57</v>
      </c>
      <c r="D4" s="19">
        <v>-0.37380000000000002</v>
      </c>
      <c r="F4" s="7">
        <v>2008</v>
      </c>
      <c r="G4" s="8">
        <v>-0.57999999999999996</v>
      </c>
    </row>
    <row r="5" spans="1:9" ht="13.2" x14ac:dyDescent="0.25">
      <c r="A5" s="1">
        <v>2009</v>
      </c>
      <c r="B5" s="14">
        <v>42.66</v>
      </c>
      <c r="C5" s="14">
        <v>52.42</v>
      </c>
      <c r="D5" s="19">
        <v>0.26100000000000001</v>
      </c>
      <c r="F5" s="7">
        <v>2009</v>
      </c>
      <c r="G5" s="8">
        <v>0.97840000000000005</v>
      </c>
    </row>
    <row r="6" spans="1:9" ht="13.2" x14ac:dyDescent="0.25">
      <c r="A6" s="1">
        <v>2010</v>
      </c>
      <c r="B6" s="14">
        <v>53.07</v>
      </c>
      <c r="C6" s="14">
        <v>60.34</v>
      </c>
      <c r="D6" s="19">
        <v>0.15110000000000001</v>
      </c>
      <c r="F6" s="7">
        <v>2010</v>
      </c>
      <c r="G6" s="8">
        <v>0.24360000000000001</v>
      </c>
    </row>
    <row r="7" spans="1:9" ht="13.2" x14ac:dyDescent="0.25">
      <c r="A7" s="1">
        <v>2011</v>
      </c>
      <c r="B7" s="14">
        <v>61.42</v>
      </c>
      <c r="C7" s="14">
        <v>60.27</v>
      </c>
      <c r="D7" s="19">
        <v>-1.1999999999999999E-3</v>
      </c>
      <c r="F7" s="7">
        <v>2011</v>
      </c>
      <c r="G7" s="8">
        <v>-7.8899999999999998E-2</v>
      </c>
    </row>
    <row r="8" spans="1:9" ht="13.2" x14ac:dyDescent="0.25">
      <c r="A8" s="1">
        <v>2012</v>
      </c>
      <c r="B8" s="14">
        <v>61.27</v>
      </c>
      <c r="C8" s="14">
        <v>68.64</v>
      </c>
      <c r="D8" s="19">
        <v>0.13880000000000001</v>
      </c>
      <c r="F8" s="7">
        <v>2012</v>
      </c>
      <c r="G8" s="8">
        <v>0.2175</v>
      </c>
    </row>
    <row r="9" spans="1:9" ht="13.2" x14ac:dyDescent="0.25">
      <c r="A9" s="1">
        <v>2013</v>
      </c>
      <c r="B9" s="14">
        <v>70.38</v>
      </c>
      <c r="C9" s="14">
        <v>90.14</v>
      </c>
      <c r="D9" s="19">
        <v>0.31330000000000002</v>
      </c>
      <c r="F9" s="7">
        <v>2013</v>
      </c>
      <c r="G9" s="8">
        <v>0.158</v>
      </c>
    </row>
    <row r="10" spans="1:9" ht="13.2" x14ac:dyDescent="0.25">
      <c r="A10" s="1">
        <v>2014</v>
      </c>
      <c r="B10" s="14">
        <v>91.95</v>
      </c>
      <c r="C10" s="14">
        <v>99.7</v>
      </c>
      <c r="D10" s="19">
        <v>0.106</v>
      </c>
      <c r="F10" s="7">
        <v>2014</v>
      </c>
      <c r="G10" s="8">
        <v>0.24859999999999999</v>
      </c>
    </row>
    <row r="11" spans="1:9" ht="13.2" x14ac:dyDescent="0.25">
      <c r="A11" s="1">
        <v>2015</v>
      </c>
      <c r="B11" s="14">
        <v>106</v>
      </c>
      <c r="C11" s="14">
        <v>98.52</v>
      </c>
      <c r="D11" s="19">
        <v>-1.18E-2</v>
      </c>
      <c r="F11" s="7">
        <v>2015</v>
      </c>
      <c r="G11" s="8">
        <v>-3.2599999999999997E-2</v>
      </c>
    </row>
    <row r="12" spans="1:9" ht="13.2" x14ac:dyDescent="0.25">
      <c r="A12" s="1">
        <v>2016</v>
      </c>
      <c r="B12" s="14">
        <v>104.38</v>
      </c>
      <c r="C12" s="14">
        <v>108.87</v>
      </c>
      <c r="D12" s="19">
        <v>0.1051</v>
      </c>
      <c r="F12" s="7">
        <v>2016</v>
      </c>
      <c r="G12" s="8">
        <v>0.34279999999999999</v>
      </c>
    </row>
    <row r="13" spans="1:9" ht="13.2" x14ac:dyDescent="0.25">
      <c r="A13" s="1">
        <v>2017</v>
      </c>
      <c r="B13" s="14">
        <v>110.45</v>
      </c>
      <c r="C13" s="14">
        <v>129.91999999999999</v>
      </c>
      <c r="D13" s="19">
        <v>0.1933</v>
      </c>
      <c r="F13" s="7">
        <v>2017</v>
      </c>
      <c r="G13" s="8">
        <v>0.46839999999999998</v>
      </c>
    </row>
    <row r="14" spans="1:9" ht="13.2" x14ac:dyDescent="0.25">
      <c r="A14" s="1">
        <v>2018</v>
      </c>
      <c r="B14" s="14">
        <v>137.52000000000001</v>
      </c>
      <c r="C14" s="14">
        <v>122.76</v>
      </c>
      <c r="D14" s="19">
        <v>-5.5100000000000003E-2</v>
      </c>
      <c r="F14" s="7">
        <v>2018</v>
      </c>
      <c r="G14" s="8">
        <v>-0.17610000000000001</v>
      </c>
    </row>
    <row r="15" spans="1:9" ht="13.2" x14ac:dyDescent="0.25">
      <c r="A15" s="1">
        <v>2019</v>
      </c>
      <c r="B15" s="14">
        <v>120.3</v>
      </c>
      <c r="C15" s="14">
        <v>158</v>
      </c>
      <c r="D15" s="19">
        <v>0.28710000000000002</v>
      </c>
      <c r="F15" s="7">
        <v>2019</v>
      </c>
      <c r="G15" s="8">
        <v>0.64570000000000005</v>
      </c>
    </row>
    <row r="16" spans="1:9" ht="13.2" x14ac:dyDescent="0.25">
      <c r="A16" s="1">
        <v>2020</v>
      </c>
      <c r="B16" s="14">
        <v>163.76</v>
      </c>
      <c r="C16" s="14">
        <v>188.56</v>
      </c>
      <c r="D16" s="19">
        <v>0.19339999999999999</v>
      </c>
      <c r="F16" s="7">
        <v>2020</v>
      </c>
      <c r="G16" s="8">
        <v>0.53069999999999995</v>
      </c>
    </row>
    <row r="17" spans="1:7" ht="13.2" x14ac:dyDescent="0.25">
      <c r="A17" s="1">
        <v>2021</v>
      </c>
      <c r="B17" s="14">
        <v>191.03</v>
      </c>
      <c r="C17" s="14">
        <v>233.55</v>
      </c>
      <c r="D17" s="19">
        <v>0.23860000000000001</v>
      </c>
      <c r="F17" s="7">
        <v>2021</v>
      </c>
      <c r="G17" s="8">
        <v>0.4113</v>
      </c>
    </row>
    <row r="18" spans="1:7" ht="13.2" x14ac:dyDescent="0.25">
      <c r="A18" s="1">
        <v>2022</v>
      </c>
      <c r="B18" s="14">
        <v>240.5</v>
      </c>
      <c r="C18" s="14">
        <v>187.06</v>
      </c>
      <c r="D18" s="19">
        <v>-0.1991</v>
      </c>
      <c r="F18" s="7">
        <v>2022</v>
      </c>
      <c r="G18" s="8">
        <v>-0.3488</v>
      </c>
    </row>
    <row r="19" spans="1:7" ht="13.2" x14ac:dyDescent="0.25">
      <c r="A19" s="1">
        <v>2023</v>
      </c>
      <c r="B19" s="14">
        <v>188.59</v>
      </c>
      <c r="C19" s="14">
        <v>232.01</v>
      </c>
      <c r="D19" s="19">
        <v>0.24030000000000001</v>
      </c>
      <c r="F19" s="7">
        <v>2023</v>
      </c>
      <c r="G19" s="8">
        <v>0.74229999999999996</v>
      </c>
    </row>
    <row r="20" spans="1:7" ht="13.2" x14ac:dyDescent="0.25">
      <c r="A20" s="1">
        <v>2024</v>
      </c>
      <c r="B20" s="14">
        <v>232.06</v>
      </c>
      <c r="C20" s="14">
        <v>266.01</v>
      </c>
      <c r="D20" s="19">
        <v>0.14649999999999999</v>
      </c>
      <c r="F20" s="7">
        <v>2024</v>
      </c>
      <c r="G20" s="8">
        <v>0.34699999999999998</v>
      </c>
    </row>
    <row r="21" spans="1:7" ht="13.2" x14ac:dyDescent="0.25">
      <c r="A21" s="1">
        <v>2025</v>
      </c>
      <c r="B21" s="14">
        <v>266.3</v>
      </c>
      <c r="C21" s="14">
        <v>335.27</v>
      </c>
      <c r="D21" s="19">
        <v>0.26040000000000002</v>
      </c>
      <c r="F21" s="7">
        <v>2025</v>
      </c>
      <c r="G21" s="8">
        <v>0.5212</v>
      </c>
    </row>
    <row r="22" spans="1:7" ht="15.75" customHeight="1" x14ac:dyDescent="0.25">
      <c r="A22" s="2">
        <v>2026</v>
      </c>
      <c r="B22" s="14">
        <v>337.15</v>
      </c>
      <c r="C22" s="14">
        <v>336.65</v>
      </c>
      <c r="D22" s="19">
        <v>-1.15E-2</v>
      </c>
      <c r="F22" s="7" t="s">
        <v>0</v>
      </c>
      <c r="G22" s="8">
        <v>0.1197</v>
      </c>
    </row>
    <row r="23" spans="1:7" ht="15.75" customHeight="1" x14ac:dyDescent="0.25">
      <c r="F23" s="7" t="s">
        <v>10</v>
      </c>
      <c r="G23" s="8">
        <v>0.22244285714285716</v>
      </c>
    </row>
    <row r="31" spans="1:7" ht="15.75" customHeight="1" x14ac:dyDescent="0.25">
      <c r="A31" s="3" t="s">
        <v>1</v>
      </c>
      <c r="B31" s="4" t="s">
        <v>2</v>
      </c>
      <c r="C31" s="4" t="s">
        <v>3</v>
      </c>
      <c r="D31" s="5" t="s">
        <v>4</v>
      </c>
    </row>
    <row r="32" spans="1:7" ht="15.75" customHeight="1" x14ac:dyDescent="0.25">
      <c r="A32" s="20">
        <v>2006</v>
      </c>
      <c r="B32" s="20">
        <v>55.03</v>
      </c>
      <c r="C32" s="20">
        <v>63.45</v>
      </c>
      <c r="D32" s="21">
        <v>0.15509999999999999</v>
      </c>
    </row>
    <row r="33" spans="1:4" ht="15.75" customHeight="1" x14ac:dyDescent="0.25">
      <c r="A33" s="20">
        <v>2007</v>
      </c>
      <c r="B33" s="20">
        <v>63.8</v>
      </c>
      <c r="C33" s="20">
        <v>66.38</v>
      </c>
      <c r="D33" s="21">
        <v>4.6199999999999998E-2</v>
      </c>
    </row>
    <row r="34" spans="1:4" ht="15.75" customHeight="1" x14ac:dyDescent="0.25">
      <c r="A34" s="20">
        <v>2008</v>
      </c>
      <c r="B34" s="20">
        <v>66.819999999999993</v>
      </c>
      <c r="C34" s="20">
        <v>41.57</v>
      </c>
      <c r="D34" s="21">
        <v>-0.37380000000000002</v>
      </c>
    </row>
    <row r="35" spans="1:4" ht="15.75" customHeight="1" x14ac:dyDescent="0.25">
      <c r="A35" s="20">
        <v>2009</v>
      </c>
      <c r="B35" s="20">
        <v>42.66</v>
      </c>
      <c r="C35" s="20">
        <v>52.42</v>
      </c>
      <c r="D35" s="21">
        <v>0.26100000000000001</v>
      </c>
    </row>
    <row r="36" spans="1:4" ht="15.75" customHeight="1" x14ac:dyDescent="0.25">
      <c r="A36" s="20">
        <v>2010</v>
      </c>
      <c r="B36" s="20">
        <v>53.07</v>
      </c>
      <c r="C36" s="20">
        <v>60.34</v>
      </c>
      <c r="D36" s="21">
        <v>0.15110000000000001</v>
      </c>
    </row>
    <row r="37" spans="1:4" ht="15.75" customHeight="1" x14ac:dyDescent="0.25">
      <c r="A37" s="20">
        <v>2011</v>
      </c>
      <c r="B37" s="20">
        <v>61.42</v>
      </c>
      <c r="C37" s="20">
        <v>60.27</v>
      </c>
      <c r="D37" s="21">
        <v>-1.1999999999999999E-3</v>
      </c>
    </row>
    <row r="38" spans="1:4" ht="15.75" customHeight="1" x14ac:dyDescent="0.25">
      <c r="A38" s="20">
        <v>2012</v>
      </c>
      <c r="B38" s="20">
        <v>61.27</v>
      </c>
      <c r="C38" s="20">
        <v>68.64</v>
      </c>
      <c r="D38" s="21">
        <v>0.13880000000000001</v>
      </c>
    </row>
    <row r="39" spans="1:4" ht="15.75" customHeight="1" x14ac:dyDescent="0.25">
      <c r="A39" s="20">
        <v>2013</v>
      </c>
      <c r="B39" s="20">
        <v>70.38</v>
      </c>
      <c r="C39" s="20">
        <v>90.14</v>
      </c>
      <c r="D39" s="21">
        <v>0.31330000000000002</v>
      </c>
    </row>
    <row r="40" spans="1:4" ht="15.75" customHeight="1" x14ac:dyDescent="0.25">
      <c r="A40" s="20">
        <v>2014</v>
      </c>
      <c r="B40" s="20">
        <v>91.95</v>
      </c>
      <c r="C40" s="20">
        <v>99.7</v>
      </c>
      <c r="D40" s="21">
        <v>0.106</v>
      </c>
    </row>
    <row r="41" spans="1:4" ht="15.75" customHeight="1" x14ac:dyDescent="0.25">
      <c r="A41" s="20">
        <v>2015</v>
      </c>
      <c r="B41" s="20">
        <v>106</v>
      </c>
      <c r="C41" s="20">
        <v>98.52</v>
      </c>
      <c r="D41" s="21">
        <v>-1.18E-2</v>
      </c>
    </row>
    <row r="42" spans="1:4" ht="15.75" customHeight="1" x14ac:dyDescent="0.25">
      <c r="A42" s="20">
        <v>2016</v>
      </c>
      <c r="B42" s="20">
        <v>104.38</v>
      </c>
      <c r="C42" s="20">
        <v>108.87</v>
      </c>
      <c r="D42" s="21">
        <v>0.1051</v>
      </c>
    </row>
    <row r="43" spans="1:4" ht="15.75" customHeight="1" x14ac:dyDescent="0.25">
      <c r="A43" s="20">
        <v>2017</v>
      </c>
      <c r="B43" s="20">
        <v>110.45</v>
      </c>
      <c r="C43" s="20">
        <v>129.91999999999999</v>
      </c>
      <c r="D43" s="21">
        <v>0.1933</v>
      </c>
    </row>
    <row r="44" spans="1:4" ht="15.75" customHeight="1" x14ac:dyDescent="0.25">
      <c r="A44" s="20">
        <v>2018</v>
      </c>
      <c r="B44" s="20">
        <v>137.52000000000001</v>
      </c>
      <c r="C44" s="20">
        <v>122.76</v>
      </c>
      <c r="D44" s="21">
        <v>-5.5100000000000003E-2</v>
      </c>
    </row>
    <row r="45" spans="1:4" ht="15.75" customHeight="1" x14ac:dyDescent="0.25">
      <c r="A45" s="20">
        <v>2019</v>
      </c>
      <c r="B45" s="20">
        <v>120.3</v>
      </c>
      <c r="C45" s="20">
        <v>158</v>
      </c>
      <c r="D45" s="21">
        <v>0.28710000000000002</v>
      </c>
    </row>
    <row r="46" spans="1:4" ht="15.75" customHeight="1" x14ac:dyDescent="0.25">
      <c r="A46" s="20">
        <v>2020</v>
      </c>
      <c r="B46" s="20">
        <v>163.76</v>
      </c>
      <c r="C46" s="20">
        <v>188.56</v>
      </c>
      <c r="D46" s="21">
        <v>0.19339999999999999</v>
      </c>
    </row>
    <row r="47" spans="1:4" ht="15.75" customHeight="1" x14ac:dyDescent="0.25">
      <c r="A47" s="20">
        <v>2021</v>
      </c>
      <c r="B47" s="20">
        <v>191.03</v>
      </c>
      <c r="C47" s="20">
        <v>233.55</v>
      </c>
      <c r="D47" s="21">
        <v>0.23860000000000001</v>
      </c>
    </row>
    <row r="48" spans="1:4" ht="15.75" customHeight="1" x14ac:dyDescent="0.25">
      <c r="A48" s="20">
        <v>2022</v>
      </c>
      <c r="B48" s="20">
        <v>240.5</v>
      </c>
      <c r="C48" s="20">
        <v>187.06</v>
      </c>
      <c r="D48" s="21">
        <v>-0.1991</v>
      </c>
    </row>
    <row r="49" spans="1:4" ht="15.75" customHeight="1" x14ac:dyDescent="0.25">
      <c r="A49" s="20">
        <v>2023</v>
      </c>
      <c r="B49" s="20">
        <v>188.59</v>
      </c>
      <c r="C49" s="20">
        <v>232.01</v>
      </c>
      <c r="D49" s="21">
        <v>0.24030000000000001</v>
      </c>
    </row>
    <row r="50" spans="1:4" ht="15.75" customHeight="1" x14ac:dyDescent="0.25">
      <c r="A50" s="20">
        <v>2024</v>
      </c>
      <c r="B50" s="20">
        <v>232.06</v>
      </c>
      <c r="C50" s="20">
        <v>266.01</v>
      </c>
      <c r="D50" s="21">
        <v>0.14649999999999999</v>
      </c>
    </row>
    <row r="51" spans="1:4" ht="15.75" customHeight="1" x14ac:dyDescent="0.25">
      <c r="A51" s="20">
        <v>2025</v>
      </c>
      <c r="B51" s="20">
        <v>266.3</v>
      </c>
      <c r="C51" s="20">
        <v>335.27</v>
      </c>
      <c r="D51" s="21">
        <v>0.26040000000000002</v>
      </c>
    </row>
    <row r="52" spans="1:4" ht="15.75" customHeight="1" x14ac:dyDescent="0.25">
      <c r="A52" s="2">
        <v>2026</v>
      </c>
      <c r="B52" s="20">
        <v>337.15</v>
      </c>
      <c r="C52" s="20">
        <v>336.65</v>
      </c>
      <c r="D52" s="21">
        <v>-1.15E-2</v>
      </c>
    </row>
  </sheetData>
  <sortState xmlns:xlrd2="http://schemas.microsoft.com/office/spreadsheetml/2017/richdata2" ref="A2:D21">
    <sortCondition ref="A2:A21"/>
  </sortState>
  <conditionalFormatting sqref="D2:D22">
    <cfRule type="cellIs" dxfId="2" priority="2" operator="lessThan">
      <formula>0</formula>
    </cfRule>
  </conditionalFormatting>
  <conditionalFormatting sqref="D32:D5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D97B-5DBC-4757-B502-4E7A290C124D}">
  <dimension ref="A1:V14"/>
  <sheetViews>
    <sheetView workbookViewId="0">
      <selection activeCell="F14" sqref="F14"/>
    </sheetView>
  </sheetViews>
  <sheetFormatPr defaultRowHeight="13.2" x14ac:dyDescent="0.25"/>
  <cols>
    <col min="1" max="1" width="10.6640625" bestFit="1" customWidth="1"/>
    <col min="2" max="2" width="12.44140625" bestFit="1" customWidth="1"/>
  </cols>
  <sheetData>
    <row r="1" spans="1:22" x14ac:dyDescent="0.25">
      <c r="A1" s="9" t="s">
        <v>5</v>
      </c>
      <c r="B1" s="10">
        <v>10000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5">
      <c r="A3" s="9" t="s">
        <v>1</v>
      </c>
      <c r="B3" s="13">
        <v>2006</v>
      </c>
      <c r="C3" s="13">
        <v>2007</v>
      </c>
      <c r="D3" s="13">
        <v>2008</v>
      </c>
      <c r="E3" s="13">
        <v>2009</v>
      </c>
      <c r="F3" s="13">
        <v>2010</v>
      </c>
      <c r="G3" s="13">
        <v>2011</v>
      </c>
      <c r="H3" s="13">
        <v>2012</v>
      </c>
      <c r="I3" s="13">
        <v>2013</v>
      </c>
      <c r="J3" s="13">
        <v>2014</v>
      </c>
      <c r="K3" s="13">
        <v>2015</v>
      </c>
      <c r="L3" s="13">
        <v>2016</v>
      </c>
      <c r="M3" s="13">
        <v>2017</v>
      </c>
      <c r="N3" s="13">
        <v>2018</v>
      </c>
      <c r="O3" s="13">
        <v>2019</v>
      </c>
      <c r="P3" s="13">
        <v>2020</v>
      </c>
      <c r="Q3" s="13">
        <v>2021</v>
      </c>
      <c r="R3" s="13">
        <v>2022</v>
      </c>
      <c r="S3" s="13">
        <v>2023</v>
      </c>
      <c r="T3" s="13">
        <v>2024</v>
      </c>
      <c r="U3" s="13">
        <v>2025</v>
      </c>
      <c r="V3" s="13">
        <v>2026</v>
      </c>
    </row>
    <row r="4" spans="1:22" x14ac:dyDescent="0.25">
      <c r="A4" s="9" t="s">
        <v>6</v>
      </c>
      <c r="B4" s="19">
        <v>0.15509999999999999</v>
      </c>
      <c r="C4" s="19">
        <v>4.6199999999999998E-2</v>
      </c>
      <c r="D4" s="19">
        <v>-0.37380000000000002</v>
      </c>
      <c r="E4" s="19">
        <v>0.26100000000000001</v>
      </c>
      <c r="F4" s="19">
        <v>0.15110000000000001</v>
      </c>
      <c r="G4" s="19">
        <v>-1.1999999999999999E-3</v>
      </c>
      <c r="H4" s="19">
        <v>0.13880000000000001</v>
      </c>
      <c r="I4" s="19">
        <v>0.31330000000000002</v>
      </c>
      <c r="J4" s="19">
        <v>0.106</v>
      </c>
      <c r="K4" s="19">
        <v>-1.18E-2</v>
      </c>
      <c r="L4" s="19">
        <v>0.1051</v>
      </c>
      <c r="M4" s="19">
        <v>0.1933</v>
      </c>
      <c r="N4" s="19">
        <v>-5.5100000000000003E-2</v>
      </c>
      <c r="O4" s="19">
        <v>0.28710000000000002</v>
      </c>
      <c r="P4" s="19">
        <v>0.19339999999999999</v>
      </c>
      <c r="Q4" s="19">
        <v>0.23860000000000001</v>
      </c>
      <c r="R4" s="19">
        <v>-0.1991</v>
      </c>
      <c r="S4" s="19">
        <v>0.24030000000000001</v>
      </c>
      <c r="T4" s="19">
        <v>0.14649999999999999</v>
      </c>
      <c r="U4" s="19">
        <v>0.26040000000000002</v>
      </c>
      <c r="V4" s="19">
        <v>-1.15E-2</v>
      </c>
    </row>
    <row r="5" spans="1:22" x14ac:dyDescent="0.25">
      <c r="A5" s="1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25">
      <c r="A6" s="9" t="s">
        <v>7</v>
      </c>
      <c r="B6" s="10" cm="1">
        <f t="array" ref="B6">B1*PRODUCT(1+B4:V4)</f>
        <v>60324.821963746268</v>
      </c>
      <c r="C6" s="16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25">
      <c r="A7" s="9" t="s">
        <v>8</v>
      </c>
      <c r="B7" s="10">
        <f>B6-B1</f>
        <v>50324.821963746268</v>
      </c>
      <c r="C7" s="17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14" spans="1:22" x14ac:dyDescent="0.25">
      <c r="D14" s="18"/>
    </row>
  </sheetData>
  <conditionalFormatting sqref="B4:V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Start</vt:lpstr>
      <vt:lpstr>VTI Evolución Anual de Precios </vt:lpstr>
      <vt:lpstr>Investment example</vt:lpstr>
      <vt:lpstr>Chart of Close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2026-01-31T04:30:15Z</dcterms:created>
  <dcterms:modified xsi:type="dcterms:W3CDTF">2026-02-19T15:32:52Z</dcterms:modified>
</cp:coreProperties>
</file>