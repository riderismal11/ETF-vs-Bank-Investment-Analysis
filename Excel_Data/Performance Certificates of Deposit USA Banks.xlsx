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9F127B3E-82FC-4AFF-8EC8-C45C6F6EF0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" sheetId="3" r:id="rId1"/>
    <sheet name="Best US Banks Performance" sheetId="1" r:id="rId2"/>
    <sheet name="Investment examp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 a="1"/>
  <c r="B6" i="2" s="1"/>
  <c r="B7" i="2" s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<sst xmlns="http://schemas.openxmlformats.org/spreadsheetml/2006/main" count="30" uniqueCount="18">
  <si>
    <t>BMO Alto</t>
  </si>
  <si>
    <t>Marcus by Goldman Sachs</t>
  </si>
  <si>
    <t>SoFi</t>
  </si>
  <si>
    <t>Ally Bank</t>
  </si>
  <si>
    <t>Capital One 360</t>
  </si>
  <si>
    <t>American Express Bank</t>
  </si>
  <si>
    <t>Discover Bank</t>
  </si>
  <si>
    <t>Citibank</t>
  </si>
  <si>
    <t>JPMorgan Chase</t>
  </si>
  <si>
    <t>Wells Fargo</t>
  </si>
  <si>
    <t>Banks</t>
  </si>
  <si>
    <t>Annual Percentage</t>
  </si>
  <si>
    <t>Average</t>
  </si>
  <si>
    <t>Year</t>
  </si>
  <si>
    <t>%</t>
  </si>
  <si>
    <t>Final capital</t>
  </si>
  <si>
    <t>Total profit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</si>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</sst>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44" fontId="0" fillId="0" borderId="1" xfId="1" applyFont="1" applyBorder="1" applyAlignment="1"/>
    <xf numFmtId="0" fontId="0" fillId="0" borderId="0" xfId="0"/>
    <xf numFmtId="0" fontId="0" fillId="2" borderId="1" xfId="0" applyFill="1" applyBorder="1"/>
    <xf numFmtId="0" fontId="0" fillId="0" borderId="1" xfId="0" applyBorder="1"/>
    <xf numFmtId="10" fontId="1" fillId="0" borderId="1" xfId="0" applyNumberFormat="1" applyFont="1" applyBorder="1"/>
    <xf numFmtId="0" fontId="2" fillId="0" borderId="0" xfId="0" applyFont="1" applyAlignment="1"/>
    <xf numFmtId="0" fontId="0" fillId="0" borderId="1" xfId="0" applyFont="1" applyBorder="1" applyAlignment="1"/>
    <xf numFmtId="10" fontId="0" fillId="0" borderId="1" xfId="2" applyNumberFormat="1" applyFont="1" applyBorder="1" applyAlignment="1"/>
    <xf numFmtId="0" fontId="0" fillId="3" borderId="1" xfId="0" applyFont="1" applyFill="1" applyBorder="1" applyAlignment="1"/>
    <xf numFmtId="0" fontId="2" fillId="3" borderId="1" xfId="0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Annual Percentage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US Banks Performance'!$C$2</c:f>
              <c:strCache>
                <c:ptCount val="1"/>
                <c:pt idx="0">
                  <c:v>Annual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US Banks Performance'!$B$3:$B$12</c:f>
              <c:strCache>
                <c:ptCount val="10"/>
                <c:pt idx="0">
                  <c:v>BMO Alto</c:v>
                </c:pt>
                <c:pt idx="1">
                  <c:v>Marcus by Goldman Sachs</c:v>
                </c:pt>
                <c:pt idx="2">
                  <c:v>SoFi</c:v>
                </c:pt>
                <c:pt idx="3">
                  <c:v>Ally Bank</c:v>
                </c:pt>
                <c:pt idx="4">
                  <c:v>Capital One 360</c:v>
                </c:pt>
                <c:pt idx="5">
                  <c:v>American Express Bank</c:v>
                </c:pt>
                <c:pt idx="6">
                  <c:v>Discover Bank</c:v>
                </c:pt>
                <c:pt idx="7">
                  <c:v>Citibank</c:v>
                </c:pt>
                <c:pt idx="8">
                  <c:v>JPMorgan Chase</c:v>
                </c:pt>
                <c:pt idx="9">
                  <c:v>Wells Fargo</c:v>
                </c:pt>
              </c:strCache>
            </c:strRef>
          </c:cat>
          <c:val>
            <c:numRef>
              <c:f>'Best US Banks Performance'!$C$3:$C$12</c:f>
              <c:numCache>
                <c:formatCode>0.00%</c:formatCode>
                <c:ptCount val="10"/>
                <c:pt idx="0">
                  <c:v>5.0500000000000003E-2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4.3999999999999997E-2</c:v>
                </c:pt>
                <c:pt idx="4">
                  <c:v>4.2999999999999997E-2</c:v>
                </c:pt>
                <c:pt idx="5">
                  <c:v>4.2500000000000003E-2</c:v>
                </c:pt>
                <c:pt idx="6">
                  <c:v>4.2000000000000003E-2</c:v>
                </c:pt>
                <c:pt idx="7">
                  <c:v>3.5000000000000003E-2</c:v>
                </c:pt>
                <c:pt idx="8">
                  <c:v>2.5000000000000001E-2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2-4748-BDA1-70348C69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145599"/>
        <c:axId val="496143103"/>
      </c:barChart>
      <c:catAx>
        <c:axId val="49614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3103"/>
        <c:crosses val="autoZero"/>
        <c:auto val="1"/>
        <c:lblAlgn val="ctr"/>
        <c:lblOffset val="100"/>
        <c:noMultiLvlLbl val="0"/>
      </c:catAx>
      <c:valAx>
        <c:axId val="49614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15240</xdr:rowOff>
    </xdr:from>
    <xdr:to>
      <xdr:col>12</xdr:col>
      <xdr:colOff>0</xdr:colOff>
      <xdr:row>14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C965E-321D-4257-9262-6934FFFC4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51A7C-F071-4EA7-93EF-70C665D1F31E}" name="Table1" displayName="Table1" ref="B2:C13" totalsRowCount="1" headerRowDxfId="5">
  <autoFilter ref="B2:C12" xr:uid="{08E51A7C-F071-4EA7-93EF-70C665D1F31E}"/>
  <tableColumns count="2">
    <tableColumn id="1" xr3:uid="{0740B5B0-1391-4C12-8B3E-8F02AFA3FD98}" name="Banks" totalsRowLabel="Average" dataDxfId="4" totalsRowDxfId="2"/>
    <tableColumn id="2" xr3:uid="{5A611809-E705-407A-B1AD-74D68AB1D239}" name="Annual Percentage" totalsRowFunction="custom" dataDxfId="3" totalsRowDxfId="1">
      <totalsRowFormula>AVERAGE(Table1[Annual Percentage])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DCD6-C23D-4F88-97EA-C70A8800183C}">
  <dimension ref="A1:C12"/>
  <sheetViews>
    <sheetView tabSelected="1" workbookViewId="0">
      <selection activeCell="B2" sqref="B2:C12"/>
    </sheetView>
  </sheetViews>
  <sheetFormatPr defaultRowHeight="13.2" x14ac:dyDescent="0.25"/>
  <cols>
    <col min="2" max="2" width="23.21875" bestFit="1" customWidth="1"/>
    <col min="3" max="3" width="16.5546875" bestFit="1" customWidth="1"/>
  </cols>
  <sheetData>
    <row r="1" spans="1:3" x14ac:dyDescent="0.25">
      <c r="A1" s="10"/>
    </row>
    <row r="2" spans="1:3" x14ac:dyDescent="0.25">
      <c r="B2" s="13" t="s">
        <v>10</v>
      </c>
      <c r="C2" s="14" t="s">
        <v>11</v>
      </c>
    </row>
    <row r="3" spans="1:3" x14ac:dyDescent="0.25">
      <c r="B3" s="11" t="s">
        <v>0</v>
      </c>
      <c r="C3" s="12">
        <v>5.0500000000000003E-2</v>
      </c>
    </row>
    <row r="4" spans="1:3" x14ac:dyDescent="0.25">
      <c r="B4" s="11" t="s">
        <v>1</v>
      </c>
      <c r="C4" s="12">
        <v>4.4999999999999998E-2</v>
      </c>
    </row>
    <row r="5" spans="1:3" x14ac:dyDescent="0.25">
      <c r="B5" s="11" t="s">
        <v>2</v>
      </c>
      <c r="C5" s="12">
        <v>4.4999999999999998E-2</v>
      </c>
    </row>
    <row r="6" spans="1:3" x14ac:dyDescent="0.25">
      <c r="B6" s="11" t="s">
        <v>3</v>
      </c>
      <c r="C6" s="12">
        <v>4.3999999999999997E-2</v>
      </c>
    </row>
    <row r="7" spans="1:3" x14ac:dyDescent="0.25">
      <c r="B7" s="11" t="s">
        <v>4</v>
      </c>
      <c r="C7" s="12">
        <v>4.2999999999999997E-2</v>
      </c>
    </row>
    <row r="8" spans="1:3" x14ac:dyDescent="0.25">
      <c r="B8" s="11" t="s">
        <v>5</v>
      </c>
      <c r="C8" s="12">
        <v>4.2500000000000003E-2</v>
      </c>
    </row>
    <row r="9" spans="1:3" x14ac:dyDescent="0.25">
      <c r="B9" s="11" t="s">
        <v>6</v>
      </c>
      <c r="C9" s="12">
        <v>4.2000000000000003E-2</v>
      </c>
    </row>
    <row r="10" spans="1:3" x14ac:dyDescent="0.25">
      <c r="B10" s="11" t="s">
        <v>7</v>
      </c>
      <c r="C10" s="12">
        <v>3.5000000000000003E-2</v>
      </c>
    </row>
    <row r="11" spans="1:3" x14ac:dyDescent="0.25">
      <c r="B11" s="11" t="s">
        <v>8</v>
      </c>
      <c r="C11" s="12">
        <v>2.5000000000000001E-2</v>
      </c>
    </row>
    <row r="12" spans="1:3" x14ac:dyDescent="0.25">
      <c r="B12" s="11" t="s">
        <v>9</v>
      </c>
      <c r="C12" s="1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3"/>
  <sheetViews>
    <sheetView workbookViewId="0">
      <selection activeCell="B2" sqref="B2:C12"/>
    </sheetView>
  </sheetViews>
  <sheetFormatPr defaultColWidth="12.6640625" defaultRowHeight="15.75" customHeight="1" x14ac:dyDescent="0.25"/>
  <cols>
    <col min="1" max="1" width="11.33203125" customWidth="1"/>
    <col min="2" max="2" width="24.6640625" customWidth="1"/>
    <col min="3" max="3" width="27.33203125" customWidth="1"/>
  </cols>
  <sheetData>
    <row r="2" spans="2:3" ht="15.75" customHeight="1" x14ac:dyDescent="0.25">
      <c r="B2" s="3" t="s">
        <v>10</v>
      </c>
      <c r="C2" s="3" t="s">
        <v>11</v>
      </c>
    </row>
    <row r="3" spans="2:3" ht="15.75" customHeight="1" x14ac:dyDescent="0.25">
      <c r="B3" s="1" t="s">
        <v>0</v>
      </c>
      <c r="C3" s="2">
        <v>5.0500000000000003E-2</v>
      </c>
    </row>
    <row r="4" spans="2:3" ht="15.75" customHeight="1" x14ac:dyDescent="0.25">
      <c r="B4" s="1" t="s">
        <v>1</v>
      </c>
      <c r="C4" s="2">
        <v>4.4999999999999998E-2</v>
      </c>
    </row>
    <row r="5" spans="2:3" ht="15.75" customHeight="1" x14ac:dyDescent="0.25">
      <c r="B5" s="1" t="s">
        <v>2</v>
      </c>
      <c r="C5" s="2">
        <v>4.4999999999999998E-2</v>
      </c>
    </row>
    <row r="6" spans="2:3" ht="15.75" customHeight="1" x14ac:dyDescent="0.25">
      <c r="B6" s="1" t="s">
        <v>3</v>
      </c>
      <c r="C6" s="2">
        <v>4.3999999999999997E-2</v>
      </c>
    </row>
    <row r="7" spans="2:3" ht="15.75" customHeight="1" x14ac:dyDescent="0.25">
      <c r="B7" s="1" t="s">
        <v>4</v>
      </c>
      <c r="C7" s="2">
        <v>4.2999999999999997E-2</v>
      </c>
    </row>
    <row r="8" spans="2:3" ht="15.75" customHeight="1" x14ac:dyDescent="0.25">
      <c r="B8" s="1" t="s">
        <v>5</v>
      </c>
      <c r="C8" s="2">
        <v>4.2500000000000003E-2</v>
      </c>
    </row>
    <row r="9" spans="2:3" ht="15.75" customHeight="1" x14ac:dyDescent="0.25">
      <c r="B9" s="1" t="s">
        <v>6</v>
      </c>
      <c r="C9" s="2">
        <v>4.2000000000000003E-2</v>
      </c>
    </row>
    <row r="10" spans="2:3" ht="15.75" customHeight="1" x14ac:dyDescent="0.25">
      <c r="B10" s="1" t="s">
        <v>7</v>
      </c>
      <c r="C10" s="2">
        <v>3.5000000000000003E-2</v>
      </c>
    </row>
    <row r="11" spans="2:3" ht="15.75" customHeight="1" x14ac:dyDescent="0.25">
      <c r="B11" s="1" t="s">
        <v>8</v>
      </c>
      <c r="C11" s="2">
        <v>2.5000000000000001E-2</v>
      </c>
    </row>
    <row r="12" spans="2:3" ht="15.75" customHeight="1" x14ac:dyDescent="0.25">
      <c r="B12" s="1" t="s">
        <v>9</v>
      </c>
      <c r="C12" s="2">
        <v>0.02</v>
      </c>
    </row>
    <row r="13" spans="2:3" ht="15.75" customHeight="1" x14ac:dyDescent="0.25">
      <c r="B13" s="1" t="s">
        <v>12</v>
      </c>
      <c r="C13" s="2">
        <f>AVERAGE(Table1[Annual Percentage])</f>
        <v>3.9199999999999999E-2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2BC2-D31C-422B-9CEF-750718208991}">
  <dimension ref="A1:V7"/>
  <sheetViews>
    <sheetView workbookViewId="0">
      <selection activeCell="B3" sqref="B3"/>
    </sheetView>
  </sheetViews>
  <sheetFormatPr defaultRowHeight="13.2" x14ac:dyDescent="0.25"/>
  <cols>
    <col min="1" max="1" width="10.6640625" bestFit="1" customWidth="1"/>
    <col min="2" max="2" width="12.44140625" bestFit="1" customWidth="1"/>
  </cols>
  <sheetData>
    <row r="1" spans="1:22" x14ac:dyDescent="0.25">
      <c r="A1" s="4" t="s">
        <v>17</v>
      </c>
      <c r="B1" s="5">
        <v>10000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5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25">
      <c r="A3" s="4" t="s">
        <v>13</v>
      </c>
      <c r="B3" s="8">
        <v>2006</v>
      </c>
      <c r="C3" s="8">
        <v>2007</v>
      </c>
      <c r="D3" s="8">
        <v>2008</v>
      </c>
      <c r="E3" s="8">
        <v>2009</v>
      </c>
      <c r="F3" s="8">
        <v>2010</v>
      </c>
      <c r="G3" s="8">
        <v>2011</v>
      </c>
      <c r="H3" s="8">
        <v>2012</v>
      </c>
      <c r="I3" s="8">
        <v>2013</v>
      </c>
      <c r="J3" s="8">
        <v>2014</v>
      </c>
      <c r="K3" s="8">
        <v>2015</v>
      </c>
      <c r="L3" s="8">
        <v>2016</v>
      </c>
      <c r="M3" s="8">
        <v>2017</v>
      </c>
      <c r="N3" s="8">
        <v>2018</v>
      </c>
      <c r="O3" s="8">
        <v>2019</v>
      </c>
      <c r="P3" s="8">
        <v>2020</v>
      </c>
      <c r="Q3" s="8">
        <v>2021</v>
      </c>
      <c r="R3" s="8">
        <v>2022</v>
      </c>
      <c r="S3" s="8">
        <v>2023</v>
      </c>
      <c r="T3" s="8">
        <v>2024</v>
      </c>
      <c r="U3" s="8">
        <v>2025</v>
      </c>
      <c r="V3" s="8">
        <v>2026</v>
      </c>
    </row>
    <row r="4" spans="1:22" x14ac:dyDescent="0.25">
      <c r="A4" s="4" t="s">
        <v>14</v>
      </c>
      <c r="B4" s="9">
        <v>3.9199999999999999E-2</v>
      </c>
      <c r="C4" s="9">
        <v>3.9199999999999999E-2</v>
      </c>
      <c r="D4" s="9">
        <v>3.9199999999999999E-2</v>
      </c>
      <c r="E4" s="9">
        <v>3.9199999999999999E-2</v>
      </c>
      <c r="F4" s="9">
        <v>3.9199999999999999E-2</v>
      </c>
      <c r="G4" s="9">
        <v>3.9199999999999999E-2</v>
      </c>
      <c r="H4" s="9">
        <v>3.9199999999999999E-2</v>
      </c>
      <c r="I4" s="9">
        <v>3.9199999999999999E-2</v>
      </c>
      <c r="J4" s="9">
        <v>3.9199999999999999E-2</v>
      </c>
      <c r="K4" s="9">
        <v>3.9199999999999999E-2</v>
      </c>
      <c r="L4" s="9">
        <v>3.9199999999999999E-2</v>
      </c>
      <c r="M4" s="9">
        <v>3.9199999999999999E-2</v>
      </c>
      <c r="N4" s="9">
        <v>3.9199999999999999E-2</v>
      </c>
      <c r="O4" s="9">
        <v>3.9199999999999999E-2</v>
      </c>
      <c r="P4" s="9">
        <v>3.9199999999999999E-2</v>
      </c>
      <c r="Q4" s="9">
        <v>3.9199999999999999E-2</v>
      </c>
      <c r="R4" s="9">
        <v>3.9199999999999999E-2</v>
      </c>
      <c r="S4" s="9">
        <v>3.9199999999999999E-2</v>
      </c>
      <c r="T4" s="9">
        <v>3.9199999999999999E-2</v>
      </c>
      <c r="U4" s="9">
        <v>3.9199999999999999E-2</v>
      </c>
      <c r="V4" s="9">
        <v>3.9199999999999999E-2</v>
      </c>
    </row>
    <row r="5" spans="1:22" x14ac:dyDescent="0.2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 s="4" t="s">
        <v>15</v>
      </c>
      <c r="B6" s="5" cm="1">
        <f t="array" ref="B6">B1*PRODUCT(1+B4:V4)</f>
        <v>22422.389857437582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 s="4" t="s">
        <v>16</v>
      </c>
      <c r="B7" s="5">
        <f>B6-B1</f>
        <v>12422.389857437582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conditionalFormatting sqref="B4:V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</vt:lpstr>
      <vt:lpstr>Best US Banks Performance</vt:lpstr>
      <vt:lpstr>Investment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2026-01-31T04:29:54Z</dcterms:created>
  <dcterms:modified xsi:type="dcterms:W3CDTF">2026-02-13T02:49:10Z</dcterms:modified>
</cp:coreProperties>
</file>