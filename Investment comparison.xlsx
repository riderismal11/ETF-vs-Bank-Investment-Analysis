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E3F8E881-AEAE-4A4C-A1F5-362A454F0F8D}" xr6:coauthVersionLast="47" xr6:coauthVersionMax="47" xr10:uidLastSave="{00000000-0000-0000-0000-000000000000}"/>
  <bookViews>
    <workbookView xWindow="-108" yWindow="-108" windowWidth="23256" windowHeight="12456" activeTab="3" xr2:uid="{2A27BB81-6CC7-4C48-8432-FFB3889589C5}"/>
  </bookViews>
  <sheets>
    <sheet name="VTI" sheetId="1" r:id="rId1"/>
    <sheet name="SMH" sheetId="3" r:id="rId2"/>
    <sheet name="Bank" sheetId="2" r:id="rId3"/>
    <sheet name="Investment Examples" sheetId="4" r:id="rId4"/>
    <sheet name="Investment Growth Compariso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4" l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F4" i="4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M4" i="4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P14" i="4"/>
</calcChain>
</file>

<file path=xl/sharedStrings.xml><?xml version="1.0" encoding="utf-8"?>
<sst xmlns="http://schemas.openxmlformats.org/spreadsheetml/2006/main" count="51" uniqueCount="22">
  <si>
    <t>VTI (ETF)</t>
  </si>
  <si>
    <t>Year</t>
  </si>
  <si>
    <t>Open ($)</t>
  </si>
  <si>
    <t>Close ($)</t>
  </si>
  <si>
    <t>Annual Performance (%)</t>
  </si>
  <si>
    <t>Banks</t>
  </si>
  <si>
    <t>Annual Percentage</t>
  </si>
  <si>
    <t>BMO Alto</t>
  </si>
  <si>
    <t>Marcus by Goldman Sachs</t>
  </si>
  <si>
    <t>SoFi</t>
  </si>
  <si>
    <t>Ally Bank</t>
  </si>
  <si>
    <t>Capital One 360</t>
  </si>
  <si>
    <t>American Express Bank</t>
  </si>
  <si>
    <t>Discover Bank</t>
  </si>
  <si>
    <t>Citibank</t>
  </si>
  <si>
    <t>JPMorgan Chase</t>
  </si>
  <si>
    <t>Wells Fargo</t>
  </si>
  <si>
    <t>SMH(ETF)</t>
  </si>
  <si>
    <t>Average</t>
  </si>
  <si>
    <t>Annual Performance Average(%)</t>
  </si>
  <si>
    <t>10k Investment</t>
  </si>
  <si>
    <t>Bank certificate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</si>
</sst>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1" applyNumberFormat="1" applyFont="1" applyBorder="1" applyAlignment="1"/>
    <xf numFmtId="0" fontId="0" fillId="3" borderId="1" xfId="0" applyFill="1" applyBorder="1"/>
    <xf numFmtId="0" fontId="2" fillId="3" borderId="1" xfId="0" applyFont="1" applyFill="1" applyBorder="1"/>
    <xf numFmtId="10" fontId="0" fillId="0" borderId="1" xfId="1" applyNumberFormat="1" applyFont="1" applyBorder="1" applyAlignment="1"/>
    <xf numFmtId="10" fontId="0" fillId="0" borderId="1" xfId="0" applyNumberFormat="1" applyBorder="1"/>
    <xf numFmtId="8" fontId="0" fillId="0" borderId="0" xfId="0" applyNumberFormat="1"/>
    <xf numFmtId="0" fontId="2" fillId="0" borderId="0" xfId="0" applyFont="1" applyAlignment="1">
      <alignment horizontal="center"/>
    </xf>
    <xf numFmtId="10" fontId="0" fillId="0" borderId="1" xfId="1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1" applyNumberFormat="1" applyFont="1" applyBorder="1" applyAlignment="1"/>
    <xf numFmtId="10" fontId="0" fillId="0" borderId="5" xfId="0" applyNumberFormat="1" applyBorder="1"/>
    <xf numFmtId="10" fontId="0" fillId="0" borderId="5" xfId="1" applyNumberFormat="1" applyFont="1" applyBorder="1" applyAlignment="1"/>
    <xf numFmtId="10" fontId="0" fillId="0" borderId="5" xfId="1" applyNumberFormat="1" applyFont="1" applyBorder="1"/>
    <xf numFmtId="0" fontId="2" fillId="0" borderId="6" xfId="0" applyFont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3" fillId="3" borderId="2" xfId="0" applyFont="1" applyFill="1" applyBorder="1"/>
    <xf numFmtId="10" fontId="3" fillId="3" borderId="0" xfId="0" applyNumberFormat="1" applyFont="1" applyFill="1"/>
    <xf numFmtId="0" fontId="0" fillId="0" borderId="6" xfId="0" applyBorder="1" applyAlignment="1">
      <alignment horizontal="center"/>
    </xf>
  </cellXfs>
  <cellStyles count="2">
    <cellStyle name="Normal" xfId="0" builtinId="0"/>
    <cellStyle name="Percent" xfId="1" builtinId="5"/>
  </cellStyles>
  <dxfs count="21">
    <dxf>
      <numFmt numFmtId="12" formatCode="&quot;$&quot;#,##0.00_);[Red]\(&quot;$&quot;#,##0.00\)"/>
    </dxf>
    <dxf>
      <numFmt numFmtId="12" formatCode="&quot;$&quot;#,##0.00_);[Red]\(&quot;$&quot;#,##0.00\)"/>
    </dxf>
    <dxf>
      <fill>
        <patternFill>
          <fgColor indexed="64"/>
          <bgColor theme="4"/>
        </patternFill>
      </fill>
      <border diagonalUp="0" diagonalDown="0"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border diagonalUp="0" diagonalDown="0"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Investment Growth Comparison</a:t>
            </a:r>
          </a:p>
          <a:p>
            <a:pPr>
              <a:defRPr b="1"/>
            </a:pPr>
            <a:r>
              <a:rPr lang="en-US" b="1"/>
              <a:t>2006-2026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VTI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'Investment Examples'!$B$4:$B$24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xVal>
          <c:yVal>
            <c:numRef>
              <c:f>'Investment Examples'!$F$4:$F$24</c:f>
              <c:numCache>
                <c:formatCode>"$"#,##0.00_);[Red]\("$"#,##0.00\)</c:formatCode>
                <c:ptCount val="21"/>
                <c:pt idx="0">
                  <c:v>11551</c:v>
                </c:pt>
                <c:pt idx="1">
                  <c:v>12084.656199999999</c:v>
                </c:pt>
                <c:pt idx="2">
                  <c:v>7567.4117124399991</c:v>
                </c:pt>
                <c:pt idx="3">
                  <c:v>9542.5061693868392</c:v>
                </c:pt>
                <c:pt idx="4">
                  <c:v>10984.37885158119</c:v>
                </c:pt>
                <c:pt idx="5">
                  <c:v>10971.197596959293</c:v>
                </c:pt>
                <c:pt idx="6">
                  <c:v>12493.999823417244</c:v>
                </c:pt>
                <c:pt idx="7">
                  <c:v>16408.369968093866</c:v>
                </c:pt>
                <c:pt idx="8">
                  <c:v>18147.657184711818</c:v>
                </c:pt>
                <c:pt idx="9">
                  <c:v>17933.514829932217</c:v>
                </c:pt>
                <c:pt idx="10">
                  <c:v>19818.327238558093</c:v>
                </c:pt>
                <c:pt idx="11">
                  <c:v>23649.209893771374</c:v>
                </c:pt>
                <c:pt idx="12">
                  <c:v>22346.13842862457</c:v>
                </c:pt>
                <c:pt idx="13">
                  <c:v>28761.714771482686</c:v>
                </c:pt>
                <c:pt idx="14">
                  <c:v>34324.23040828744</c:v>
                </c:pt>
                <c:pt idx="15">
                  <c:v>42513.99178370482</c:v>
                </c:pt>
                <c:pt idx="16">
                  <c:v>34049.456019569188</c:v>
                </c:pt>
                <c:pt idx="17">
                  <c:v>42231.540301071662</c:v>
                </c:pt>
                <c:pt idx="18">
                  <c:v>48418.460955178663</c:v>
                </c:pt>
                <c:pt idx="19">
                  <c:v>61026.628187907183</c:v>
                </c:pt>
                <c:pt idx="20">
                  <c:v>62503.472590054538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8-4BB9-A852-03D0523C5E9E}"/>
            </c:ext>
          </c:extLst>
        </c:ser>
        <c:ser>
          <c:idx val="1"/>
          <c:order val="1"/>
          <c:tx>
            <c:v>SMH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'Investment Examples'!$B$4:$B$24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xVal>
          <c:yVal>
            <c:numRef>
              <c:f>'Investment Examples'!$M$4:$M$24</c:f>
              <c:numCache>
                <c:formatCode>"$"#,##0.00_);[Red]\("$"#,##0.00\)</c:formatCode>
                <c:ptCount val="21"/>
                <c:pt idx="0">
                  <c:v>9530</c:v>
                </c:pt>
                <c:pt idx="1">
                  <c:v>9144.0349999999999</c:v>
                </c:pt>
                <c:pt idx="2">
                  <c:v>3840.4947000000002</c:v>
                </c:pt>
                <c:pt idx="3">
                  <c:v>7598.0347144800007</c:v>
                </c:pt>
                <c:pt idx="4">
                  <c:v>9448.9159709273299</c:v>
                </c:pt>
                <c:pt idx="5">
                  <c:v>8703.3965008211635</c:v>
                </c:pt>
                <c:pt idx="6">
                  <c:v>10596.385239749767</c:v>
                </c:pt>
                <c:pt idx="7">
                  <c:v>12270.614107630228</c:v>
                </c:pt>
                <c:pt idx="8">
                  <c:v>15321.088774787102</c:v>
                </c:pt>
                <c:pt idx="9">
                  <c:v>14821.621280729043</c:v>
                </c:pt>
                <c:pt idx="10">
                  <c:v>19902.473055762959</c:v>
                </c:pt>
                <c:pt idx="11">
                  <c:v>29224.791435082327</c:v>
                </c:pt>
                <c:pt idx="12">
                  <c:v>24078.305663364328</c:v>
                </c:pt>
                <c:pt idx="13">
                  <c:v>39625.667630198681</c:v>
                </c:pt>
                <c:pt idx="14">
                  <c:v>60655.009441545117</c:v>
                </c:pt>
                <c:pt idx="15">
                  <c:v>85602.414824852618</c:v>
                </c:pt>
                <c:pt idx="16">
                  <c:v>55744.292533944026</c:v>
                </c:pt>
                <c:pt idx="17">
                  <c:v>97123.280881890678</c:v>
                </c:pt>
                <c:pt idx="18">
                  <c:v>130825.05934790675</c:v>
                </c:pt>
                <c:pt idx="19">
                  <c:v>199011.08028003573</c:v>
                </c:pt>
                <c:pt idx="20">
                  <c:v>222832.70658955601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B8-4BB9-A852-03D0523C5E9E}"/>
            </c:ext>
          </c:extLst>
        </c:ser>
        <c:ser>
          <c:idx val="2"/>
          <c:order val="2"/>
          <c:tx>
            <c:v>Bank certificate average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'Investment Examples'!$B$4:$B$24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xVal>
          <c:yVal>
            <c:numRef>
              <c:f>'Investment Examples'!$T$4:$T$24</c:f>
              <c:numCache>
                <c:formatCode>"$"#,##0.00_);[Red]\("$"#,##0.00\)</c:formatCode>
                <c:ptCount val="21"/>
                <c:pt idx="0">
                  <c:v>10391.999999999998</c:v>
                </c:pt>
                <c:pt idx="1">
                  <c:v>10799.366399999997</c:v>
                </c:pt>
                <c:pt idx="2">
                  <c:v>11222.701562879996</c:v>
                </c:pt>
                <c:pt idx="3">
                  <c:v>11662.631464144892</c:v>
                </c:pt>
                <c:pt idx="4">
                  <c:v>12119.806617539371</c:v>
                </c:pt>
                <c:pt idx="5">
                  <c:v>12594.903036946913</c:v>
                </c:pt>
                <c:pt idx="6">
                  <c:v>13088.62323599523</c:v>
                </c:pt>
                <c:pt idx="7">
                  <c:v>13601.697266846242</c:v>
                </c:pt>
                <c:pt idx="8">
                  <c:v>14134.883799706613</c:v>
                </c:pt>
                <c:pt idx="9">
                  <c:v>14688.971244655111</c:v>
                </c:pt>
                <c:pt idx="10">
                  <c:v>15264.77891744559</c:v>
                </c:pt>
                <c:pt idx="11">
                  <c:v>15863.158251009456</c:v>
                </c:pt>
                <c:pt idx="12">
                  <c:v>16484.994054449024</c:v>
                </c:pt>
                <c:pt idx="13">
                  <c:v>17131.205821383424</c:v>
                </c:pt>
                <c:pt idx="14">
                  <c:v>17802.749089581652</c:v>
                </c:pt>
                <c:pt idx="15">
                  <c:v>18500.616853893251</c:v>
                </c:pt>
                <c:pt idx="16">
                  <c:v>19225.841034565863</c:v>
                </c:pt>
                <c:pt idx="17">
                  <c:v>19979.494003120843</c:v>
                </c:pt>
                <c:pt idx="18">
                  <c:v>20762.690168043177</c:v>
                </c:pt>
                <c:pt idx="19">
                  <c:v>21576.587622630468</c:v>
                </c:pt>
                <c:pt idx="20">
                  <c:v>22422.389857437582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B8-4BB9-A852-03D0523C5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86640"/>
        <c:axId val="1235587472"/>
      </c:scatterChart>
      <c:valAx>
        <c:axId val="123558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7472"/>
        <c:crosses val="autoZero"/>
        <c:crossBetween val="midCat"/>
      </c:valAx>
      <c:valAx>
        <c:axId val="12355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8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F0DFD1-CC71-4997-8C72-4AF8921736E1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FA61E-7E23-44F1-A9CC-93E4B04B17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B1D56-71E7-4D56-BD8E-67E69B6DA0DC}" name="Table1" displayName="Table1" ref="B3:F24" totalsRowShown="0" headerRowDxfId="6" headerRowBorderDxfId="7" tableBorderDxfId="20">
  <autoFilter ref="B3:F24" xr:uid="{528B1D56-71E7-4D56-BD8E-67E69B6DA0DC}"/>
  <tableColumns count="5">
    <tableColumn id="1" xr3:uid="{98891250-2C96-4F8B-AE9E-7115AB835377}" name="Year" dataDxfId="19"/>
    <tableColumn id="2" xr3:uid="{93363360-D526-4CCA-B471-854143FAF52A}" name="Open ($)" dataDxfId="18"/>
    <tableColumn id="3" xr3:uid="{65BDE6EE-C4F1-48BC-8806-DB46AF3498B6}" name="Close ($)" dataDxfId="17"/>
    <tableColumn id="4" xr3:uid="{FED02E1E-F38F-4F36-8953-0C50AC9A3610}" name="Annual Performance (%)" dataDxfId="16" dataCellStyle="Percent"/>
    <tableColumn id="5" xr3:uid="{7A6214A6-F544-4658-9645-856BF97B7E26}" name="10k Investment" dataDxfId="1">
      <calculatedColumnFormula>FV(E4,1,0,-F3)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2AC23-6183-4E6D-99CB-6855B94BD116}" name="Table2" displayName="Table2" ref="I3:M24" totalsRowShown="0" headerRowDxfId="4" headerRowBorderDxfId="5" tableBorderDxfId="15">
  <autoFilter ref="I3:M24" xr:uid="{D6C2AC23-6183-4E6D-99CB-6855B94BD116}"/>
  <tableColumns count="5">
    <tableColumn id="1" xr3:uid="{8F7BCD0C-B7EF-4094-937E-985482E36996}" name="Year" dataDxfId="14"/>
    <tableColumn id="2" xr3:uid="{D8E520F3-05CE-427B-94CD-DDD7EC023236}" name="Open ($)" dataDxfId="13"/>
    <tableColumn id="3" xr3:uid="{3E1991FC-4EBE-4DD7-857C-084DBA627566}" name="Close ($)" dataDxfId="12"/>
    <tableColumn id="4" xr3:uid="{2EBFA07B-42D0-4C60-9A27-7CCC6D17DC0E}" name="Annual Performance (%)" dataDxfId="11"/>
    <tableColumn id="5" xr3:uid="{F3E5C885-B78D-41F2-B6B6-7CDFE8AB9928}" name="10k Investment" dataDxfId="10">
      <calculatedColumnFormula>FV(L4,1,0,-M3)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4E705-D50E-466A-854C-80305166E371}" name="Table3" displayName="Table3" ref="R3:T24" totalsRowShown="0" headerRowDxfId="2" headerRowBorderDxfId="3">
  <autoFilter ref="R3:T24" xr:uid="{EE14E705-D50E-466A-854C-80305166E371}"/>
  <tableColumns count="3">
    <tableColumn id="1" xr3:uid="{6D2B25D3-1D3F-4DA6-BAC7-182D552B0AED}" name="Year" dataDxfId="9"/>
    <tableColumn id="2" xr3:uid="{D8F064CC-D452-412B-9C5A-33A55A008D87}" name="Annual Performance Average(%)" dataDxfId="8" dataCellStyle="Percent"/>
    <tableColumn id="3" xr3:uid="{0FEADC13-CCBC-4148-BD18-3E7CC49F1DE6}" name="10k Investment" dataDxfId="0">
      <calculatedColumnFormula>FV(S4,1,0,-T3)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ED47-BADC-407F-802A-079A41EC558E}">
  <dimension ref="B2:E24"/>
  <sheetViews>
    <sheetView workbookViewId="0">
      <selection activeCell="B2" sqref="B2:E2"/>
    </sheetView>
  </sheetViews>
  <sheetFormatPr defaultRowHeight="14.4" x14ac:dyDescent="0.3"/>
  <cols>
    <col min="2" max="2" width="8.88671875" customWidth="1"/>
    <col min="5" max="5" width="20.77734375" bestFit="1" customWidth="1"/>
  </cols>
  <sheetData>
    <row r="2" spans="2:5" x14ac:dyDescent="0.3">
      <c r="B2" s="18" t="s">
        <v>0</v>
      </c>
      <c r="C2" s="18"/>
      <c r="D2" s="18"/>
      <c r="E2" s="18"/>
    </row>
    <row r="3" spans="2:5" x14ac:dyDescent="0.3">
      <c r="B3" s="1" t="s">
        <v>1</v>
      </c>
      <c r="C3" s="1" t="s">
        <v>2</v>
      </c>
      <c r="D3" s="1" t="s">
        <v>3</v>
      </c>
      <c r="E3" s="1" t="s">
        <v>4</v>
      </c>
    </row>
    <row r="4" spans="2:5" x14ac:dyDescent="0.3">
      <c r="B4" s="2">
        <v>2006</v>
      </c>
      <c r="C4" s="2">
        <v>55.03</v>
      </c>
      <c r="D4" s="2">
        <v>63.45</v>
      </c>
      <c r="E4" s="3">
        <v>0.15509999999999999</v>
      </c>
    </row>
    <row r="5" spans="2:5" x14ac:dyDescent="0.3">
      <c r="B5" s="2">
        <v>2007</v>
      </c>
      <c r="C5" s="2">
        <v>63.8</v>
      </c>
      <c r="D5" s="2">
        <v>66.38</v>
      </c>
      <c r="E5" s="3">
        <v>4.6199999999999998E-2</v>
      </c>
    </row>
    <row r="6" spans="2:5" x14ac:dyDescent="0.3">
      <c r="B6" s="2">
        <v>2008</v>
      </c>
      <c r="C6" s="2">
        <v>66.819999999999993</v>
      </c>
      <c r="D6" s="2">
        <v>41.57</v>
      </c>
      <c r="E6" s="3">
        <v>-0.37380000000000002</v>
      </c>
    </row>
    <row r="7" spans="2:5" x14ac:dyDescent="0.3">
      <c r="B7" s="2">
        <v>2009</v>
      </c>
      <c r="C7" s="2">
        <v>42.66</v>
      </c>
      <c r="D7" s="2">
        <v>52.42</v>
      </c>
      <c r="E7" s="3">
        <v>0.26100000000000001</v>
      </c>
    </row>
    <row r="8" spans="2:5" x14ac:dyDescent="0.3">
      <c r="B8" s="2">
        <v>2010</v>
      </c>
      <c r="C8" s="2">
        <v>53.07</v>
      </c>
      <c r="D8" s="2">
        <v>60.34</v>
      </c>
      <c r="E8" s="3">
        <v>0.15110000000000001</v>
      </c>
    </row>
    <row r="9" spans="2:5" x14ac:dyDescent="0.3">
      <c r="B9" s="2">
        <v>2011</v>
      </c>
      <c r="C9" s="2">
        <v>61.42</v>
      </c>
      <c r="D9" s="2">
        <v>60.27</v>
      </c>
      <c r="E9" s="3">
        <v>-1.1999999999999999E-3</v>
      </c>
    </row>
    <row r="10" spans="2:5" x14ac:dyDescent="0.3">
      <c r="B10" s="2">
        <v>2012</v>
      </c>
      <c r="C10" s="2">
        <v>61.27</v>
      </c>
      <c r="D10" s="2">
        <v>68.64</v>
      </c>
      <c r="E10" s="3">
        <v>0.13880000000000001</v>
      </c>
    </row>
    <row r="11" spans="2:5" x14ac:dyDescent="0.3">
      <c r="B11" s="2">
        <v>2013</v>
      </c>
      <c r="C11" s="2">
        <v>70.38</v>
      </c>
      <c r="D11" s="2">
        <v>90.14</v>
      </c>
      <c r="E11" s="3">
        <v>0.31330000000000002</v>
      </c>
    </row>
    <row r="12" spans="2:5" x14ac:dyDescent="0.3">
      <c r="B12" s="2">
        <v>2014</v>
      </c>
      <c r="C12" s="2">
        <v>91.95</v>
      </c>
      <c r="D12" s="2">
        <v>99.7</v>
      </c>
      <c r="E12" s="3">
        <v>0.106</v>
      </c>
    </row>
    <row r="13" spans="2:5" x14ac:dyDescent="0.3">
      <c r="B13" s="2">
        <v>2015</v>
      </c>
      <c r="C13" s="2">
        <v>106</v>
      </c>
      <c r="D13" s="2">
        <v>98.52</v>
      </c>
      <c r="E13" s="3">
        <v>-1.18E-2</v>
      </c>
    </row>
    <row r="14" spans="2:5" x14ac:dyDescent="0.3">
      <c r="B14" s="2">
        <v>2016</v>
      </c>
      <c r="C14" s="2">
        <v>104.38</v>
      </c>
      <c r="D14" s="2">
        <v>108.87</v>
      </c>
      <c r="E14" s="3">
        <v>0.1051</v>
      </c>
    </row>
    <row r="15" spans="2:5" x14ac:dyDescent="0.3">
      <c r="B15" s="2">
        <v>2017</v>
      </c>
      <c r="C15" s="2">
        <v>110.45</v>
      </c>
      <c r="D15" s="2">
        <v>129.91999999999999</v>
      </c>
      <c r="E15" s="3">
        <v>0.1933</v>
      </c>
    </row>
    <row r="16" spans="2:5" x14ac:dyDescent="0.3">
      <c r="B16" s="2">
        <v>2018</v>
      </c>
      <c r="C16" s="2">
        <v>137.52000000000001</v>
      </c>
      <c r="D16" s="2">
        <v>122.76</v>
      </c>
      <c r="E16" s="3">
        <v>-5.5100000000000003E-2</v>
      </c>
    </row>
    <row r="17" spans="2:5" x14ac:dyDescent="0.3">
      <c r="B17" s="2">
        <v>2019</v>
      </c>
      <c r="C17" s="2">
        <v>120.3</v>
      </c>
      <c r="D17" s="2">
        <v>158</v>
      </c>
      <c r="E17" s="3">
        <v>0.28710000000000002</v>
      </c>
    </row>
    <row r="18" spans="2:5" x14ac:dyDescent="0.3">
      <c r="B18" s="2">
        <v>2020</v>
      </c>
      <c r="C18" s="2">
        <v>163.76</v>
      </c>
      <c r="D18" s="2">
        <v>188.56</v>
      </c>
      <c r="E18" s="3">
        <v>0.19339999999999999</v>
      </c>
    </row>
    <row r="19" spans="2:5" x14ac:dyDescent="0.3">
      <c r="B19" s="2">
        <v>2021</v>
      </c>
      <c r="C19" s="2">
        <v>191.03</v>
      </c>
      <c r="D19" s="2">
        <v>233.55</v>
      </c>
      <c r="E19" s="3">
        <v>0.23860000000000001</v>
      </c>
    </row>
    <row r="20" spans="2:5" x14ac:dyDescent="0.3">
      <c r="B20" s="2">
        <v>2022</v>
      </c>
      <c r="C20" s="2">
        <v>240.5</v>
      </c>
      <c r="D20" s="2">
        <v>187.06</v>
      </c>
      <c r="E20" s="3">
        <v>-0.1991</v>
      </c>
    </row>
    <row r="21" spans="2:5" x14ac:dyDescent="0.3">
      <c r="B21" s="2">
        <v>2023</v>
      </c>
      <c r="C21" s="2">
        <v>188.59</v>
      </c>
      <c r="D21" s="2">
        <v>232.01</v>
      </c>
      <c r="E21" s="3">
        <v>0.24030000000000001</v>
      </c>
    </row>
    <row r="22" spans="2:5" x14ac:dyDescent="0.3">
      <c r="B22" s="2">
        <v>2024</v>
      </c>
      <c r="C22" s="2">
        <v>232.06</v>
      </c>
      <c r="D22" s="2">
        <v>266.01</v>
      </c>
      <c r="E22" s="3">
        <v>0.14649999999999999</v>
      </c>
    </row>
    <row r="23" spans="2:5" x14ac:dyDescent="0.3">
      <c r="B23" s="2">
        <v>2025</v>
      </c>
      <c r="C23" s="2">
        <v>266.3</v>
      </c>
      <c r="D23" s="2">
        <v>335.27</v>
      </c>
      <c r="E23" s="3">
        <v>0.26040000000000002</v>
      </c>
    </row>
    <row r="24" spans="2:5" x14ac:dyDescent="0.3">
      <c r="B24" s="2">
        <v>2026</v>
      </c>
      <c r="C24" s="2">
        <v>337.2</v>
      </c>
      <c r="D24" s="2">
        <v>343.37</v>
      </c>
      <c r="E24" s="3">
        <v>2.4199999999999999E-2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AAC0-68C1-4462-8F35-FD840572FE3E}">
  <dimension ref="B2:E24"/>
  <sheetViews>
    <sheetView workbookViewId="0">
      <selection activeCell="B2" sqref="B2:E2"/>
    </sheetView>
  </sheetViews>
  <sheetFormatPr defaultRowHeight="14.4" x14ac:dyDescent="0.3"/>
  <cols>
    <col min="2" max="2" width="8.88671875" customWidth="1"/>
    <col min="3" max="3" width="10.21875" customWidth="1"/>
    <col min="4" max="4" width="12.33203125" customWidth="1"/>
    <col min="5" max="5" width="20.77734375" bestFit="1" customWidth="1"/>
  </cols>
  <sheetData>
    <row r="2" spans="2:5" x14ac:dyDescent="0.3">
      <c r="B2" s="18" t="s">
        <v>17</v>
      </c>
      <c r="C2" s="18"/>
      <c r="D2" s="18"/>
      <c r="E2" s="18"/>
    </row>
    <row r="3" spans="2:5" x14ac:dyDescent="0.3">
      <c r="B3" s="4" t="s">
        <v>1</v>
      </c>
      <c r="C3" s="4" t="s">
        <v>2</v>
      </c>
      <c r="D3" s="4" t="s">
        <v>3</v>
      </c>
      <c r="E3" s="4" t="s">
        <v>4</v>
      </c>
    </row>
    <row r="4" spans="2:5" x14ac:dyDescent="0.3">
      <c r="B4" s="2">
        <v>2006</v>
      </c>
      <c r="C4" s="2">
        <v>36.200000000000003</v>
      </c>
      <c r="D4" s="2">
        <v>34.5</v>
      </c>
      <c r="E4" s="7">
        <v>-4.7E-2</v>
      </c>
    </row>
    <row r="5" spans="2:5" x14ac:dyDescent="0.3">
      <c r="B5" s="2">
        <v>2007</v>
      </c>
      <c r="C5" s="2">
        <v>34.5</v>
      </c>
      <c r="D5" s="2">
        <v>33.1</v>
      </c>
      <c r="E5" s="7">
        <v>-4.0500000000000001E-2</v>
      </c>
    </row>
    <row r="6" spans="2:5" x14ac:dyDescent="0.3">
      <c r="B6" s="2">
        <v>2008</v>
      </c>
      <c r="C6" s="2">
        <v>33.1</v>
      </c>
      <c r="D6" s="2">
        <v>13.9</v>
      </c>
      <c r="E6" s="7">
        <v>-0.57999999999999996</v>
      </c>
    </row>
    <row r="7" spans="2:5" x14ac:dyDescent="0.3">
      <c r="B7" s="2">
        <v>2009</v>
      </c>
      <c r="C7" s="2">
        <v>13.9</v>
      </c>
      <c r="D7" s="2">
        <v>27.5</v>
      </c>
      <c r="E7" s="7">
        <v>0.97840000000000005</v>
      </c>
    </row>
    <row r="8" spans="2:5" x14ac:dyDescent="0.3">
      <c r="B8" s="2">
        <v>2010</v>
      </c>
      <c r="C8" s="2">
        <v>27.5</v>
      </c>
      <c r="D8" s="2">
        <v>34.200000000000003</v>
      </c>
      <c r="E8" s="7">
        <v>0.24360000000000001</v>
      </c>
    </row>
    <row r="9" spans="2:5" x14ac:dyDescent="0.3">
      <c r="B9" s="2">
        <v>2011</v>
      </c>
      <c r="C9" s="2">
        <v>34.200000000000003</v>
      </c>
      <c r="D9" s="2">
        <v>31.5</v>
      </c>
      <c r="E9" s="7">
        <v>-7.8899999999999998E-2</v>
      </c>
    </row>
    <row r="10" spans="2:5" x14ac:dyDescent="0.3">
      <c r="B10" s="2">
        <v>2012</v>
      </c>
      <c r="C10" s="2">
        <v>31.5</v>
      </c>
      <c r="D10" s="2">
        <v>38.35</v>
      </c>
      <c r="E10" s="7">
        <v>0.2175</v>
      </c>
    </row>
    <row r="11" spans="2:5" x14ac:dyDescent="0.3">
      <c r="B11" s="2">
        <v>2013</v>
      </c>
      <c r="C11" s="2">
        <v>38.35</v>
      </c>
      <c r="D11" s="2">
        <v>44.41</v>
      </c>
      <c r="E11" s="7">
        <v>0.158</v>
      </c>
    </row>
    <row r="12" spans="2:5" x14ac:dyDescent="0.3">
      <c r="B12" s="2">
        <v>2014</v>
      </c>
      <c r="C12" s="2">
        <v>44.41</v>
      </c>
      <c r="D12" s="2">
        <v>55.45</v>
      </c>
      <c r="E12" s="7">
        <v>0.24859999999999999</v>
      </c>
    </row>
    <row r="13" spans="2:5" x14ac:dyDescent="0.3">
      <c r="B13" s="2">
        <v>2015</v>
      </c>
      <c r="C13" s="2">
        <v>55.45</v>
      </c>
      <c r="D13" s="2">
        <v>53.64</v>
      </c>
      <c r="E13" s="7">
        <v>-3.2599999999999997E-2</v>
      </c>
    </row>
    <row r="14" spans="2:5" x14ac:dyDescent="0.3">
      <c r="B14" s="2">
        <v>2016</v>
      </c>
      <c r="C14" s="2">
        <v>53.64</v>
      </c>
      <c r="D14" s="2">
        <v>72.03</v>
      </c>
      <c r="E14" s="7">
        <v>0.34279999999999999</v>
      </c>
    </row>
    <row r="15" spans="2:5" x14ac:dyDescent="0.3">
      <c r="B15" s="2">
        <v>2017</v>
      </c>
      <c r="C15" s="2">
        <v>72.03</v>
      </c>
      <c r="D15" s="2">
        <v>105.77</v>
      </c>
      <c r="E15" s="7">
        <v>0.46839999999999998</v>
      </c>
    </row>
    <row r="16" spans="2:5" x14ac:dyDescent="0.3">
      <c r="B16" s="2">
        <v>2018</v>
      </c>
      <c r="C16" s="2">
        <v>105.77</v>
      </c>
      <c r="D16" s="2">
        <v>87.14</v>
      </c>
      <c r="E16" s="7">
        <v>-0.17610000000000001</v>
      </c>
    </row>
    <row r="17" spans="2:5" x14ac:dyDescent="0.3">
      <c r="B17" s="2">
        <v>2019</v>
      </c>
      <c r="C17" s="2">
        <v>87.89</v>
      </c>
      <c r="D17" s="2">
        <v>143.41</v>
      </c>
      <c r="E17" s="7">
        <v>0.64570000000000005</v>
      </c>
    </row>
    <row r="18" spans="2:5" x14ac:dyDescent="0.3">
      <c r="B18" s="2">
        <v>2020</v>
      </c>
      <c r="C18" s="2">
        <v>142</v>
      </c>
      <c r="D18" s="2">
        <v>219.52</v>
      </c>
      <c r="E18" s="7">
        <v>0.53069999999999995</v>
      </c>
    </row>
    <row r="19" spans="2:5" x14ac:dyDescent="0.3">
      <c r="B19" s="2">
        <v>2021</v>
      </c>
      <c r="C19" s="2">
        <v>221.43</v>
      </c>
      <c r="D19" s="2">
        <v>309.81</v>
      </c>
      <c r="E19" s="7">
        <v>0.4113</v>
      </c>
    </row>
    <row r="20" spans="2:5" x14ac:dyDescent="0.3">
      <c r="B20" s="2">
        <v>2022</v>
      </c>
      <c r="C20" s="2">
        <v>309.83</v>
      </c>
      <c r="D20" s="2">
        <v>201.75</v>
      </c>
      <c r="E20" s="7">
        <v>-0.3488</v>
      </c>
    </row>
    <row r="21" spans="2:5" x14ac:dyDescent="0.3">
      <c r="B21" s="2">
        <v>2023</v>
      </c>
      <c r="C21" s="2">
        <v>106.84</v>
      </c>
      <c r="D21" s="2">
        <v>175.75</v>
      </c>
      <c r="E21" s="7">
        <v>0.74229999999999996</v>
      </c>
    </row>
    <row r="22" spans="2:5" x14ac:dyDescent="0.3">
      <c r="B22" s="2">
        <v>2024</v>
      </c>
      <c r="C22" s="2">
        <v>175.76</v>
      </c>
      <c r="D22" s="2">
        <v>236.74</v>
      </c>
      <c r="E22" s="7">
        <v>0.34699999999999998</v>
      </c>
    </row>
    <row r="23" spans="2:5" x14ac:dyDescent="0.3">
      <c r="B23" s="2">
        <v>2025</v>
      </c>
      <c r="C23" s="2">
        <v>240.24</v>
      </c>
      <c r="D23" s="2">
        <v>360.13</v>
      </c>
      <c r="E23" s="7">
        <v>0.5212</v>
      </c>
    </row>
    <row r="24" spans="2:5" x14ac:dyDescent="0.3">
      <c r="B24" s="2">
        <v>2026</v>
      </c>
      <c r="C24" s="2">
        <v>368.96</v>
      </c>
      <c r="D24" s="2">
        <v>403.25</v>
      </c>
      <c r="E24" s="7">
        <v>0.1197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A62D-8E69-49A7-A9B4-DAF98979EF3B}">
  <dimension ref="B2:C12"/>
  <sheetViews>
    <sheetView workbookViewId="0">
      <selection activeCell="B2" sqref="B2:C12"/>
    </sheetView>
  </sheetViews>
  <sheetFormatPr defaultRowHeight="14.4" x14ac:dyDescent="0.3"/>
  <cols>
    <col min="2" max="2" width="22.44140625" bestFit="1" customWidth="1"/>
    <col min="3" max="3" width="15.5546875" bestFit="1" customWidth="1"/>
  </cols>
  <sheetData>
    <row r="2" spans="2:3" x14ac:dyDescent="0.3">
      <c r="B2" s="4" t="s">
        <v>5</v>
      </c>
      <c r="C2" s="5" t="s">
        <v>6</v>
      </c>
    </row>
    <row r="3" spans="2:3" x14ac:dyDescent="0.3">
      <c r="B3" s="2" t="s">
        <v>7</v>
      </c>
      <c r="C3" s="6">
        <v>5.0500000000000003E-2</v>
      </c>
    </row>
    <row r="4" spans="2:3" x14ac:dyDescent="0.3">
      <c r="B4" s="2" t="s">
        <v>8</v>
      </c>
      <c r="C4" s="6">
        <v>4.4999999999999998E-2</v>
      </c>
    </row>
    <row r="5" spans="2:3" x14ac:dyDescent="0.3">
      <c r="B5" s="2" t="s">
        <v>9</v>
      </c>
      <c r="C5" s="6">
        <v>4.4999999999999998E-2</v>
      </c>
    </row>
    <row r="6" spans="2:3" x14ac:dyDescent="0.3">
      <c r="B6" s="2" t="s">
        <v>10</v>
      </c>
      <c r="C6" s="6">
        <v>4.3999999999999997E-2</v>
      </c>
    </row>
    <row r="7" spans="2:3" x14ac:dyDescent="0.3">
      <c r="B7" s="2" t="s">
        <v>11</v>
      </c>
      <c r="C7" s="6">
        <v>4.2999999999999997E-2</v>
      </c>
    </row>
    <row r="8" spans="2:3" x14ac:dyDescent="0.3">
      <c r="B8" s="2" t="s">
        <v>12</v>
      </c>
      <c r="C8" s="6">
        <v>4.2500000000000003E-2</v>
      </c>
    </row>
    <row r="9" spans="2:3" x14ac:dyDescent="0.3">
      <c r="B9" s="2" t="s">
        <v>13</v>
      </c>
      <c r="C9" s="6">
        <v>4.2000000000000003E-2</v>
      </c>
    </row>
    <row r="10" spans="2:3" x14ac:dyDescent="0.3">
      <c r="B10" s="2" t="s">
        <v>14</v>
      </c>
      <c r="C10" s="6">
        <v>3.5000000000000003E-2</v>
      </c>
    </row>
    <row r="11" spans="2:3" x14ac:dyDescent="0.3">
      <c r="B11" s="2" t="s">
        <v>15</v>
      </c>
      <c r="C11" s="6">
        <v>2.5000000000000001E-2</v>
      </c>
    </row>
    <row r="12" spans="2:3" x14ac:dyDescent="0.3">
      <c r="B12" s="2" t="s">
        <v>16</v>
      </c>
      <c r="C12" s="6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A0E7-50BC-4B8E-9028-E91BF13535F1}">
  <dimension ref="B2:T24"/>
  <sheetViews>
    <sheetView tabSelected="1" zoomScale="66" zoomScaleNormal="66" workbookViewId="0">
      <selection activeCell="W14" sqref="W14"/>
    </sheetView>
  </sheetViews>
  <sheetFormatPr defaultRowHeight="14.4" x14ac:dyDescent="0.3"/>
  <cols>
    <col min="1" max="1" width="11.44140625" bestFit="1" customWidth="1"/>
    <col min="3" max="3" width="10.21875" customWidth="1"/>
    <col min="4" max="4" width="10.109375" customWidth="1"/>
    <col min="5" max="5" width="23.44140625" customWidth="1"/>
    <col min="6" max="6" width="17.6640625" bestFit="1" customWidth="1"/>
    <col min="10" max="10" width="10.21875" customWidth="1"/>
    <col min="11" max="11" width="10.109375" customWidth="1"/>
    <col min="12" max="12" width="23.44140625" customWidth="1"/>
    <col min="13" max="13" width="17.6640625" bestFit="1" customWidth="1"/>
    <col min="15" max="15" width="22.44140625" bestFit="1" customWidth="1"/>
    <col min="16" max="16" width="18.33203125" bestFit="1" customWidth="1"/>
    <col min="19" max="19" width="30.33203125" customWidth="1"/>
    <col min="20" max="20" width="17.6640625" bestFit="1" customWidth="1"/>
  </cols>
  <sheetData>
    <row r="2" spans="2:20" x14ac:dyDescent="0.3">
      <c r="B2" s="9" t="s">
        <v>0</v>
      </c>
      <c r="C2" s="9"/>
      <c r="D2" s="9"/>
      <c r="E2" s="9"/>
      <c r="F2" s="9"/>
      <c r="I2" s="9" t="s">
        <v>17</v>
      </c>
      <c r="J2" s="9"/>
      <c r="K2" s="9"/>
      <c r="L2" s="9"/>
      <c r="M2" s="9"/>
      <c r="R2" s="23" t="s">
        <v>21</v>
      </c>
      <c r="S2" s="23"/>
      <c r="T2" s="23"/>
    </row>
    <row r="3" spans="2:20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20</v>
      </c>
      <c r="I3" s="4" t="s">
        <v>1</v>
      </c>
      <c r="J3" s="4" t="s">
        <v>2</v>
      </c>
      <c r="K3" s="4" t="s">
        <v>3</v>
      </c>
      <c r="L3" s="4" t="s">
        <v>4</v>
      </c>
      <c r="M3" s="4" t="s">
        <v>20</v>
      </c>
      <c r="O3" s="19" t="s">
        <v>5</v>
      </c>
      <c r="P3" s="20" t="s">
        <v>6</v>
      </c>
      <c r="R3" s="4" t="s">
        <v>1</v>
      </c>
      <c r="S3" s="4" t="s">
        <v>19</v>
      </c>
      <c r="T3" s="4" t="s">
        <v>20</v>
      </c>
    </row>
    <row r="4" spans="2:20" x14ac:dyDescent="0.3">
      <c r="B4" s="12">
        <v>2006</v>
      </c>
      <c r="C4" s="13">
        <v>55.03</v>
      </c>
      <c r="D4" s="13">
        <v>63.45</v>
      </c>
      <c r="E4" s="14">
        <v>0.15509999999999999</v>
      </c>
      <c r="F4" s="8">
        <f>FV(E4,1,0,-10000)</f>
        <v>11551</v>
      </c>
      <c r="I4" s="12">
        <v>2006</v>
      </c>
      <c r="J4" s="13">
        <v>36.200000000000003</v>
      </c>
      <c r="K4" s="13">
        <v>34.5</v>
      </c>
      <c r="L4" s="15">
        <v>-4.7E-2</v>
      </c>
      <c r="M4" s="8">
        <f>FV(L4,1,0,-10000)</f>
        <v>9530</v>
      </c>
      <c r="O4" s="13" t="s">
        <v>7</v>
      </c>
      <c r="P4" s="16">
        <v>5.0500000000000003E-2</v>
      </c>
      <c r="R4" s="13">
        <v>2006</v>
      </c>
      <c r="S4" s="17">
        <v>3.9199999999999999E-2</v>
      </c>
      <c r="T4" s="8">
        <f>FV(S4,1,0,-10000)</f>
        <v>10391.999999999998</v>
      </c>
    </row>
    <row r="5" spans="2:20" x14ac:dyDescent="0.3">
      <c r="B5" s="11">
        <v>2007</v>
      </c>
      <c r="C5" s="2">
        <v>63.8</v>
      </c>
      <c r="D5" s="2">
        <v>66.38</v>
      </c>
      <c r="E5" s="3">
        <v>4.6199999999999998E-2</v>
      </c>
      <c r="F5" s="8">
        <f>FV(E5,1,0,-F4)</f>
        <v>12084.656199999999</v>
      </c>
      <c r="I5" s="11">
        <v>2007</v>
      </c>
      <c r="J5" s="2">
        <v>34.5</v>
      </c>
      <c r="K5" s="2">
        <v>33.1</v>
      </c>
      <c r="L5" s="7">
        <v>-4.0500000000000001E-2</v>
      </c>
      <c r="M5" s="8">
        <f>FV(L5,1,0,-M4)</f>
        <v>9144.0349999999999</v>
      </c>
      <c r="O5" s="2" t="s">
        <v>8</v>
      </c>
      <c r="P5" s="6">
        <v>4.4999999999999998E-2</v>
      </c>
      <c r="R5" s="2">
        <v>2007</v>
      </c>
      <c r="S5" s="10">
        <v>3.9199999999999999E-2</v>
      </c>
      <c r="T5" s="8">
        <f>FV(S5,1,0,-T4)</f>
        <v>10799.366399999997</v>
      </c>
    </row>
    <row r="6" spans="2:20" x14ac:dyDescent="0.3">
      <c r="B6" s="11">
        <v>2008</v>
      </c>
      <c r="C6" s="2">
        <v>66.819999999999993</v>
      </c>
      <c r="D6" s="2">
        <v>41.57</v>
      </c>
      <c r="E6" s="3">
        <v>-0.37380000000000002</v>
      </c>
      <c r="F6" s="8">
        <f t="shared" ref="F6:F24" si="0">FV(E6,1,0,-F5)</f>
        <v>7567.4117124399991</v>
      </c>
      <c r="I6" s="11">
        <v>2008</v>
      </c>
      <c r="J6" s="2">
        <v>33.1</v>
      </c>
      <c r="K6" s="2">
        <v>13.9</v>
      </c>
      <c r="L6" s="7">
        <v>-0.57999999999999996</v>
      </c>
      <c r="M6" s="8">
        <f t="shared" ref="M6:M24" si="1">FV(L6,1,0,-M5)</f>
        <v>3840.4947000000002</v>
      </c>
      <c r="O6" s="2" t="s">
        <v>9</v>
      </c>
      <c r="P6" s="6">
        <v>4.4999999999999998E-2</v>
      </c>
      <c r="R6" s="2">
        <v>2008</v>
      </c>
      <c r="S6" s="10">
        <v>3.9199999999999999E-2</v>
      </c>
      <c r="T6" s="8">
        <f t="shared" ref="T6:T24" si="2">FV(S6,1,0,-T5)</f>
        <v>11222.701562879996</v>
      </c>
    </row>
    <row r="7" spans="2:20" x14ac:dyDescent="0.3">
      <c r="B7" s="11">
        <v>2009</v>
      </c>
      <c r="C7" s="2">
        <v>42.66</v>
      </c>
      <c r="D7" s="2">
        <v>52.42</v>
      </c>
      <c r="E7" s="3">
        <v>0.26100000000000001</v>
      </c>
      <c r="F7" s="8">
        <f t="shared" si="0"/>
        <v>9542.5061693868392</v>
      </c>
      <c r="I7" s="11">
        <v>2009</v>
      </c>
      <c r="J7" s="2">
        <v>13.9</v>
      </c>
      <c r="K7" s="2">
        <v>27.5</v>
      </c>
      <c r="L7" s="7">
        <v>0.97840000000000005</v>
      </c>
      <c r="M7" s="8">
        <f t="shared" si="1"/>
        <v>7598.0347144800007</v>
      </c>
      <c r="O7" s="2" t="s">
        <v>10</v>
      </c>
      <c r="P7" s="6">
        <v>4.3999999999999997E-2</v>
      </c>
      <c r="R7" s="2">
        <v>2009</v>
      </c>
      <c r="S7" s="10">
        <v>3.9199999999999999E-2</v>
      </c>
      <c r="T7" s="8">
        <f t="shared" si="2"/>
        <v>11662.631464144892</v>
      </c>
    </row>
    <row r="8" spans="2:20" x14ac:dyDescent="0.3">
      <c r="B8" s="11">
        <v>2010</v>
      </c>
      <c r="C8" s="2">
        <v>53.07</v>
      </c>
      <c r="D8" s="2">
        <v>60.34</v>
      </c>
      <c r="E8" s="3">
        <v>0.15110000000000001</v>
      </c>
      <c r="F8" s="8">
        <f t="shared" si="0"/>
        <v>10984.37885158119</v>
      </c>
      <c r="I8" s="11">
        <v>2010</v>
      </c>
      <c r="J8" s="2">
        <v>27.5</v>
      </c>
      <c r="K8" s="2">
        <v>34.200000000000003</v>
      </c>
      <c r="L8" s="7">
        <v>0.24360000000000001</v>
      </c>
      <c r="M8" s="8">
        <f t="shared" si="1"/>
        <v>9448.9159709273299</v>
      </c>
      <c r="O8" s="2" t="s">
        <v>11</v>
      </c>
      <c r="P8" s="6">
        <v>4.2999999999999997E-2</v>
      </c>
      <c r="R8" s="2">
        <v>2010</v>
      </c>
      <c r="S8" s="10">
        <v>3.9199999999999999E-2</v>
      </c>
      <c r="T8" s="8">
        <f t="shared" si="2"/>
        <v>12119.806617539371</v>
      </c>
    </row>
    <row r="9" spans="2:20" x14ac:dyDescent="0.3">
      <c r="B9" s="11">
        <v>2011</v>
      </c>
      <c r="C9" s="2">
        <v>61.42</v>
      </c>
      <c r="D9" s="2">
        <v>60.27</v>
      </c>
      <c r="E9" s="3">
        <v>-1.1999999999999999E-3</v>
      </c>
      <c r="F9" s="8">
        <f t="shared" si="0"/>
        <v>10971.197596959293</v>
      </c>
      <c r="I9" s="11">
        <v>2011</v>
      </c>
      <c r="J9" s="2">
        <v>34.200000000000003</v>
      </c>
      <c r="K9" s="2">
        <v>31.5</v>
      </c>
      <c r="L9" s="7">
        <v>-7.8899999999999998E-2</v>
      </c>
      <c r="M9" s="8">
        <f t="shared" si="1"/>
        <v>8703.3965008211635</v>
      </c>
      <c r="O9" s="2" t="s">
        <v>12</v>
      </c>
      <c r="P9" s="6">
        <v>4.2500000000000003E-2</v>
      </c>
      <c r="R9" s="2">
        <v>2011</v>
      </c>
      <c r="S9" s="10">
        <v>3.9199999999999999E-2</v>
      </c>
      <c r="T9" s="8">
        <f t="shared" si="2"/>
        <v>12594.903036946913</v>
      </c>
    </row>
    <row r="10" spans="2:20" x14ac:dyDescent="0.3">
      <c r="B10" s="11">
        <v>2012</v>
      </c>
      <c r="C10" s="2">
        <v>61.27</v>
      </c>
      <c r="D10" s="2">
        <v>68.64</v>
      </c>
      <c r="E10" s="3">
        <v>0.13880000000000001</v>
      </c>
      <c r="F10" s="8">
        <f t="shared" si="0"/>
        <v>12493.999823417244</v>
      </c>
      <c r="I10" s="11">
        <v>2012</v>
      </c>
      <c r="J10" s="2">
        <v>31.5</v>
      </c>
      <c r="K10" s="2">
        <v>38.35</v>
      </c>
      <c r="L10" s="7">
        <v>0.2175</v>
      </c>
      <c r="M10" s="8">
        <f t="shared" si="1"/>
        <v>10596.385239749767</v>
      </c>
      <c r="O10" s="2" t="s">
        <v>13</v>
      </c>
      <c r="P10" s="6">
        <v>4.2000000000000003E-2</v>
      </c>
      <c r="R10" s="2">
        <v>2012</v>
      </c>
      <c r="S10" s="10">
        <v>3.9199999999999999E-2</v>
      </c>
      <c r="T10" s="8">
        <f t="shared" si="2"/>
        <v>13088.62323599523</v>
      </c>
    </row>
    <row r="11" spans="2:20" x14ac:dyDescent="0.3">
      <c r="B11" s="11">
        <v>2013</v>
      </c>
      <c r="C11" s="2">
        <v>70.38</v>
      </c>
      <c r="D11" s="2">
        <v>90.14</v>
      </c>
      <c r="E11" s="3">
        <v>0.31330000000000002</v>
      </c>
      <c r="F11" s="8">
        <f t="shared" si="0"/>
        <v>16408.369968093866</v>
      </c>
      <c r="I11" s="11">
        <v>2013</v>
      </c>
      <c r="J11" s="2">
        <v>38.35</v>
      </c>
      <c r="K11" s="2">
        <v>44.41</v>
      </c>
      <c r="L11" s="7">
        <v>0.158</v>
      </c>
      <c r="M11" s="8">
        <f t="shared" si="1"/>
        <v>12270.614107630228</v>
      </c>
      <c r="O11" s="2" t="s">
        <v>14</v>
      </c>
      <c r="P11" s="6">
        <v>3.5000000000000003E-2</v>
      </c>
      <c r="R11" s="2">
        <v>2013</v>
      </c>
      <c r="S11" s="10">
        <v>3.9199999999999999E-2</v>
      </c>
      <c r="T11" s="8">
        <f t="shared" si="2"/>
        <v>13601.697266846242</v>
      </c>
    </row>
    <row r="12" spans="2:20" x14ac:dyDescent="0.3">
      <c r="B12" s="11">
        <v>2014</v>
      </c>
      <c r="C12" s="2">
        <v>91.95</v>
      </c>
      <c r="D12" s="2">
        <v>99.7</v>
      </c>
      <c r="E12" s="3">
        <v>0.106</v>
      </c>
      <c r="F12" s="8">
        <f t="shared" si="0"/>
        <v>18147.657184711818</v>
      </c>
      <c r="I12" s="11">
        <v>2014</v>
      </c>
      <c r="J12" s="2">
        <v>44.41</v>
      </c>
      <c r="K12" s="2">
        <v>55.45</v>
      </c>
      <c r="L12" s="7">
        <v>0.24859999999999999</v>
      </c>
      <c r="M12" s="8">
        <f t="shared" si="1"/>
        <v>15321.088774787102</v>
      </c>
      <c r="O12" s="2" t="s">
        <v>15</v>
      </c>
      <c r="P12" s="6">
        <v>2.5000000000000001E-2</v>
      </c>
      <c r="R12" s="2">
        <v>2014</v>
      </c>
      <c r="S12" s="10">
        <v>3.9199999999999999E-2</v>
      </c>
      <c r="T12" s="8">
        <f t="shared" si="2"/>
        <v>14134.883799706613</v>
      </c>
    </row>
    <row r="13" spans="2:20" x14ac:dyDescent="0.3">
      <c r="B13" s="11">
        <v>2015</v>
      </c>
      <c r="C13" s="2">
        <v>106</v>
      </c>
      <c r="D13" s="2">
        <v>98.52</v>
      </c>
      <c r="E13" s="3">
        <v>-1.18E-2</v>
      </c>
      <c r="F13" s="8">
        <f t="shared" si="0"/>
        <v>17933.514829932217</v>
      </c>
      <c r="I13" s="11">
        <v>2015</v>
      </c>
      <c r="J13" s="2">
        <v>55.45</v>
      </c>
      <c r="K13" s="2">
        <v>53.64</v>
      </c>
      <c r="L13" s="7">
        <v>-3.2599999999999997E-2</v>
      </c>
      <c r="M13" s="8">
        <f t="shared" si="1"/>
        <v>14821.621280729043</v>
      </c>
      <c r="O13" s="2" t="s">
        <v>16</v>
      </c>
      <c r="P13" s="6">
        <v>0.02</v>
      </c>
      <c r="R13" s="2">
        <v>2015</v>
      </c>
      <c r="S13" s="10">
        <v>3.9199999999999999E-2</v>
      </c>
      <c r="T13" s="8">
        <f t="shared" si="2"/>
        <v>14688.971244655111</v>
      </c>
    </row>
    <row r="14" spans="2:20" x14ac:dyDescent="0.3">
      <c r="B14" s="11">
        <v>2016</v>
      </c>
      <c r="C14" s="2">
        <v>104.38</v>
      </c>
      <c r="D14" s="2">
        <v>108.87</v>
      </c>
      <c r="E14" s="3">
        <v>0.1051</v>
      </c>
      <c r="F14" s="8">
        <f t="shared" si="0"/>
        <v>19818.327238558093</v>
      </c>
      <c r="I14" s="11">
        <v>2016</v>
      </c>
      <c r="J14" s="2">
        <v>53.64</v>
      </c>
      <c r="K14" s="2">
        <v>72.03</v>
      </c>
      <c r="L14" s="7">
        <v>0.34279999999999999</v>
      </c>
      <c r="M14" s="8">
        <f t="shared" si="1"/>
        <v>19902.473055762959</v>
      </c>
      <c r="O14" s="21" t="s">
        <v>18</v>
      </c>
      <c r="P14" s="22">
        <f>AVERAGE(P4:P13)</f>
        <v>3.9199999999999999E-2</v>
      </c>
      <c r="R14" s="2">
        <v>2016</v>
      </c>
      <c r="S14" s="10">
        <v>3.9199999999999999E-2</v>
      </c>
      <c r="T14" s="8">
        <f t="shared" si="2"/>
        <v>15264.77891744559</v>
      </c>
    </row>
    <row r="15" spans="2:20" x14ac:dyDescent="0.3">
      <c r="B15" s="11">
        <v>2017</v>
      </c>
      <c r="C15" s="2">
        <v>110.45</v>
      </c>
      <c r="D15" s="2">
        <v>129.91999999999999</v>
      </c>
      <c r="E15" s="3">
        <v>0.1933</v>
      </c>
      <c r="F15" s="8">
        <f t="shared" si="0"/>
        <v>23649.209893771374</v>
      </c>
      <c r="I15" s="11">
        <v>2017</v>
      </c>
      <c r="J15" s="2">
        <v>72.03</v>
      </c>
      <c r="K15" s="2">
        <v>105.77</v>
      </c>
      <c r="L15" s="7">
        <v>0.46839999999999998</v>
      </c>
      <c r="M15" s="8">
        <f t="shared" si="1"/>
        <v>29224.791435082327</v>
      </c>
      <c r="R15" s="2">
        <v>2017</v>
      </c>
      <c r="S15" s="10">
        <v>3.9199999999999999E-2</v>
      </c>
      <c r="T15" s="8">
        <f t="shared" si="2"/>
        <v>15863.158251009456</v>
      </c>
    </row>
    <row r="16" spans="2:20" x14ac:dyDescent="0.3">
      <c r="B16" s="11">
        <v>2018</v>
      </c>
      <c r="C16" s="2">
        <v>137.52000000000001</v>
      </c>
      <c r="D16" s="2">
        <v>122.76</v>
      </c>
      <c r="E16" s="3">
        <v>-5.5100000000000003E-2</v>
      </c>
      <c r="F16" s="8">
        <f t="shared" si="0"/>
        <v>22346.13842862457</v>
      </c>
      <c r="I16" s="11">
        <v>2018</v>
      </c>
      <c r="J16" s="2">
        <v>105.77</v>
      </c>
      <c r="K16" s="2">
        <v>87.14</v>
      </c>
      <c r="L16" s="7">
        <v>-0.17610000000000001</v>
      </c>
      <c r="M16" s="8">
        <f t="shared" si="1"/>
        <v>24078.305663364328</v>
      </c>
      <c r="R16" s="2">
        <v>2018</v>
      </c>
      <c r="S16" s="10">
        <v>3.9199999999999999E-2</v>
      </c>
      <c r="T16" s="8">
        <f t="shared" si="2"/>
        <v>16484.994054449024</v>
      </c>
    </row>
    <row r="17" spans="2:20" x14ac:dyDescent="0.3">
      <c r="B17" s="11">
        <v>2019</v>
      </c>
      <c r="C17" s="2">
        <v>120.3</v>
      </c>
      <c r="D17" s="2">
        <v>158</v>
      </c>
      <c r="E17" s="3">
        <v>0.28710000000000002</v>
      </c>
      <c r="F17" s="8">
        <f t="shared" si="0"/>
        <v>28761.714771482686</v>
      </c>
      <c r="I17" s="11">
        <v>2019</v>
      </c>
      <c r="J17" s="2">
        <v>87.89</v>
      </c>
      <c r="K17" s="2">
        <v>143.41</v>
      </c>
      <c r="L17" s="7">
        <v>0.64570000000000005</v>
      </c>
      <c r="M17" s="8">
        <f t="shared" si="1"/>
        <v>39625.667630198681</v>
      </c>
      <c r="R17" s="2">
        <v>2019</v>
      </c>
      <c r="S17" s="10">
        <v>3.9199999999999999E-2</v>
      </c>
      <c r="T17" s="8">
        <f t="shared" si="2"/>
        <v>17131.205821383424</v>
      </c>
    </row>
    <row r="18" spans="2:20" x14ac:dyDescent="0.3">
      <c r="B18" s="11">
        <v>2020</v>
      </c>
      <c r="C18" s="2">
        <v>163.76</v>
      </c>
      <c r="D18" s="2">
        <v>188.56</v>
      </c>
      <c r="E18" s="3">
        <v>0.19339999999999999</v>
      </c>
      <c r="F18" s="8">
        <f t="shared" si="0"/>
        <v>34324.23040828744</v>
      </c>
      <c r="I18" s="11">
        <v>2020</v>
      </c>
      <c r="J18" s="2">
        <v>142</v>
      </c>
      <c r="K18" s="2">
        <v>219.52</v>
      </c>
      <c r="L18" s="7">
        <v>0.53069999999999995</v>
      </c>
      <c r="M18" s="8">
        <f t="shared" si="1"/>
        <v>60655.009441545117</v>
      </c>
      <c r="R18" s="2">
        <v>2020</v>
      </c>
      <c r="S18" s="10">
        <v>3.9199999999999999E-2</v>
      </c>
      <c r="T18" s="8">
        <f t="shared" si="2"/>
        <v>17802.749089581652</v>
      </c>
    </row>
    <row r="19" spans="2:20" x14ac:dyDescent="0.3">
      <c r="B19" s="11">
        <v>2021</v>
      </c>
      <c r="C19" s="2">
        <v>191.03</v>
      </c>
      <c r="D19" s="2">
        <v>233.55</v>
      </c>
      <c r="E19" s="3">
        <v>0.23860000000000001</v>
      </c>
      <c r="F19" s="8">
        <f t="shared" si="0"/>
        <v>42513.99178370482</v>
      </c>
      <c r="I19" s="11">
        <v>2021</v>
      </c>
      <c r="J19" s="2">
        <v>221.43</v>
      </c>
      <c r="K19" s="2">
        <v>309.81</v>
      </c>
      <c r="L19" s="7">
        <v>0.4113</v>
      </c>
      <c r="M19" s="8">
        <f t="shared" si="1"/>
        <v>85602.414824852618</v>
      </c>
      <c r="R19" s="2">
        <v>2021</v>
      </c>
      <c r="S19" s="10">
        <v>3.9199999999999999E-2</v>
      </c>
      <c r="T19" s="8">
        <f t="shared" si="2"/>
        <v>18500.616853893251</v>
      </c>
    </row>
    <row r="20" spans="2:20" x14ac:dyDescent="0.3">
      <c r="B20" s="11">
        <v>2022</v>
      </c>
      <c r="C20" s="2">
        <v>240.5</v>
      </c>
      <c r="D20" s="2">
        <v>187.06</v>
      </c>
      <c r="E20" s="3">
        <v>-0.1991</v>
      </c>
      <c r="F20" s="8">
        <f t="shared" si="0"/>
        <v>34049.456019569188</v>
      </c>
      <c r="I20" s="11">
        <v>2022</v>
      </c>
      <c r="J20" s="2">
        <v>309.83</v>
      </c>
      <c r="K20" s="2">
        <v>201.75</v>
      </c>
      <c r="L20" s="7">
        <v>-0.3488</v>
      </c>
      <c r="M20" s="8">
        <f t="shared" si="1"/>
        <v>55744.292533944026</v>
      </c>
      <c r="R20" s="2">
        <v>2022</v>
      </c>
      <c r="S20" s="10">
        <v>3.9199999999999999E-2</v>
      </c>
      <c r="T20" s="8">
        <f t="shared" si="2"/>
        <v>19225.841034565863</v>
      </c>
    </row>
    <row r="21" spans="2:20" x14ac:dyDescent="0.3">
      <c r="B21" s="11">
        <v>2023</v>
      </c>
      <c r="C21" s="2">
        <v>188.59</v>
      </c>
      <c r="D21" s="2">
        <v>232.01</v>
      </c>
      <c r="E21" s="3">
        <v>0.24030000000000001</v>
      </c>
      <c r="F21" s="8">
        <f t="shared" si="0"/>
        <v>42231.540301071662</v>
      </c>
      <c r="I21" s="11">
        <v>2023</v>
      </c>
      <c r="J21" s="2">
        <v>106.84</v>
      </c>
      <c r="K21" s="2">
        <v>175.75</v>
      </c>
      <c r="L21" s="7">
        <v>0.74229999999999996</v>
      </c>
      <c r="M21" s="8">
        <f t="shared" si="1"/>
        <v>97123.280881890678</v>
      </c>
      <c r="R21" s="2">
        <v>2023</v>
      </c>
      <c r="S21" s="10">
        <v>3.9199999999999999E-2</v>
      </c>
      <c r="T21" s="8">
        <f t="shared" si="2"/>
        <v>19979.494003120843</v>
      </c>
    </row>
    <row r="22" spans="2:20" x14ac:dyDescent="0.3">
      <c r="B22" s="11">
        <v>2024</v>
      </c>
      <c r="C22" s="2">
        <v>232.06</v>
      </c>
      <c r="D22" s="2">
        <v>266.01</v>
      </c>
      <c r="E22" s="3">
        <v>0.14649999999999999</v>
      </c>
      <c r="F22" s="8">
        <f t="shared" si="0"/>
        <v>48418.460955178663</v>
      </c>
      <c r="I22" s="11">
        <v>2024</v>
      </c>
      <c r="J22" s="2">
        <v>175.76</v>
      </c>
      <c r="K22" s="2">
        <v>236.74</v>
      </c>
      <c r="L22" s="7">
        <v>0.34699999999999998</v>
      </c>
      <c r="M22" s="8">
        <f t="shared" si="1"/>
        <v>130825.05934790675</v>
      </c>
      <c r="R22" s="2">
        <v>2024</v>
      </c>
      <c r="S22" s="10">
        <v>3.9199999999999999E-2</v>
      </c>
      <c r="T22" s="8">
        <f t="shared" si="2"/>
        <v>20762.690168043177</v>
      </c>
    </row>
    <row r="23" spans="2:20" x14ac:dyDescent="0.3">
      <c r="B23" s="11">
        <v>2025</v>
      </c>
      <c r="C23" s="2">
        <v>266.3</v>
      </c>
      <c r="D23" s="2">
        <v>335.27</v>
      </c>
      <c r="E23" s="3">
        <v>0.26040000000000002</v>
      </c>
      <c r="F23" s="8">
        <f t="shared" si="0"/>
        <v>61026.628187907183</v>
      </c>
      <c r="I23" s="11">
        <v>2025</v>
      </c>
      <c r="J23" s="2">
        <v>240.24</v>
      </c>
      <c r="K23" s="2">
        <v>360.13</v>
      </c>
      <c r="L23" s="7">
        <v>0.5212</v>
      </c>
      <c r="M23" s="8">
        <f t="shared" si="1"/>
        <v>199011.08028003573</v>
      </c>
      <c r="R23" s="2">
        <v>2025</v>
      </c>
      <c r="S23" s="10">
        <v>3.9199999999999999E-2</v>
      </c>
      <c r="T23" s="8">
        <f t="shared" si="2"/>
        <v>21576.587622630468</v>
      </c>
    </row>
    <row r="24" spans="2:20" x14ac:dyDescent="0.3">
      <c r="B24" s="11">
        <v>2026</v>
      </c>
      <c r="C24" s="2">
        <v>337.2</v>
      </c>
      <c r="D24" s="2">
        <v>343.37</v>
      </c>
      <c r="E24" s="3">
        <v>2.4199999999999999E-2</v>
      </c>
      <c r="F24" s="8">
        <f t="shared" si="0"/>
        <v>62503.472590054538</v>
      </c>
      <c r="I24" s="11">
        <v>2026</v>
      </c>
      <c r="J24" s="2">
        <v>368.96</v>
      </c>
      <c r="K24" s="2">
        <v>403.25</v>
      </c>
      <c r="L24" s="7">
        <v>0.1197</v>
      </c>
      <c r="M24" s="8">
        <f t="shared" si="1"/>
        <v>222832.70658955601</v>
      </c>
      <c r="R24" s="2">
        <v>2026</v>
      </c>
      <c r="S24" s="10">
        <v>3.9199999999999999E-2</v>
      </c>
      <c r="T24" s="8">
        <f t="shared" si="2"/>
        <v>22422.389857437582</v>
      </c>
    </row>
  </sheetData>
  <mergeCells count="3">
    <mergeCell ref="B2:F2"/>
    <mergeCell ref="I2:M2"/>
    <mergeCell ref="R2:T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VTI</vt:lpstr>
      <vt:lpstr>SMH</vt:lpstr>
      <vt:lpstr>Bank</vt:lpstr>
      <vt:lpstr>Investment Examples</vt:lpstr>
      <vt:lpstr>Investment Growth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2026-02-12T16:42:19Z</dcterms:created>
  <dcterms:modified xsi:type="dcterms:W3CDTF">2026-02-13T04:21:13Z</dcterms:modified>
</cp:coreProperties>
</file>