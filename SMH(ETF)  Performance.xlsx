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der\OneDrive\Escritorio\Proyecto\"/>
    </mc:Choice>
  </mc:AlternateContent>
  <xr:revisionPtr revIDLastSave="0" documentId="13_ncr:1_{E69E6855-58C1-46D6-AF37-EB650DB7D01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art" sheetId="5" r:id="rId1"/>
    <sheet name="SMH Evolución Anual de Precios " sheetId="1" r:id="rId2"/>
    <sheet name="Chart of Close Range" sheetId="2" r:id="rId3"/>
    <sheet name="Investment example" sheetId="4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4" l="1" a="1"/>
  <c r="B6" i="4" s="1"/>
  <c r="B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<sst xmlns="http://schemas.openxmlformats.org/spreadsheetml/2006/main" count="18" uniqueCount="12">
  <si>
    <t>2026 (YTD)</t>
  </si>
  <si>
    <t>Year</t>
  </si>
  <si>
    <t>Open ($)</t>
  </si>
  <si>
    <t>Close ($)</t>
  </si>
  <si>
    <t>Annual Performance (%)</t>
  </si>
  <si>
    <t>Invest</t>
  </si>
  <si>
    <t>%</t>
  </si>
  <si>
    <t>Final capital</t>
  </si>
  <si>
    <t>Total profit</t>
  </si>
  <si>
    <t>Annual Performance(%)</t>
  </si>
  <si>
    <t xml:space="preserve">Average </t>
  </si>
  <si>
    <t>SMH(ETF)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</si>
</sst>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/>
    <xf numFmtId="0" fontId="1" fillId="0" borderId="0" xfId="0" applyFont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0" fontId="3" fillId="3" borderId="4" xfId="0" applyFont="1" applyFill="1" applyBorder="1"/>
    <xf numFmtId="44" fontId="0" fillId="0" borderId="4" xfId="1" applyFont="1" applyBorder="1" applyAlignment="1"/>
    <xf numFmtId="0" fontId="0" fillId="0" borderId="0" xfId="0"/>
    <xf numFmtId="0" fontId="0" fillId="3" borderId="4" xfId="0" applyFill="1" applyBorder="1"/>
    <xf numFmtId="0" fontId="0" fillId="0" borderId="4" xfId="0" applyBorder="1"/>
    <xf numFmtId="0" fontId="0" fillId="0" borderId="4" xfId="0" applyFont="1" applyBorder="1" applyAlignment="1"/>
    <xf numFmtId="10" fontId="0" fillId="0" borderId="4" xfId="0" applyNumberFormat="1" applyFont="1" applyBorder="1" applyAlignment="1"/>
    <xf numFmtId="0" fontId="0" fillId="4" borderId="4" xfId="0" applyFont="1" applyFill="1" applyBorder="1" applyAlignment="1"/>
    <xf numFmtId="10" fontId="0" fillId="0" borderId="4" xfId="2" applyNumberFormat="1" applyFont="1" applyBorder="1"/>
    <xf numFmtId="0" fontId="0" fillId="0" borderId="5" xfId="0" applyBorder="1"/>
    <xf numFmtId="0" fontId="0" fillId="0" borderId="0" xfId="0" applyBorder="1"/>
    <xf numFmtId="10" fontId="0" fillId="0" borderId="0" xfId="2" applyNumberFormat="1" applyFont="1" applyBorder="1" applyAlignment="1"/>
    <xf numFmtId="0" fontId="3" fillId="0" borderId="0" xfId="0" applyFont="1" applyAlignment="1"/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of Close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'SMH Evolución Anual de Precios '!$A$2:$A$22</c:f>
              <c:numCache>
                <c:formatCode>General</c:formatCod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numCache>
            </c:numRef>
          </c:cat>
          <c:val>
            <c:numRef>
              <c:f>'SMH Evolución Anual de Precios '!$C$2:$C$22</c:f>
              <c:numCache>
                <c:formatCode>General</c:formatCode>
                <c:ptCount val="21"/>
                <c:pt idx="0">
                  <c:v>34.5</c:v>
                </c:pt>
                <c:pt idx="1">
                  <c:v>33.1</c:v>
                </c:pt>
                <c:pt idx="2">
                  <c:v>13.9</c:v>
                </c:pt>
                <c:pt idx="3">
                  <c:v>27.5</c:v>
                </c:pt>
                <c:pt idx="4">
                  <c:v>34.200000000000003</c:v>
                </c:pt>
                <c:pt idx="5">
                  <c:v>31.5</c:v>
                </c:pt>
                <c:pt idx="6">
                  <c:v>38.35</c:v>
                </c:pt>
                <c:pt idx="7">
                  <c:v>44.41</c:v>
                </c:pt>
                <c:pt idx="8">
                  <c:v>55.45</c:v>
                </c:pt>
                <c:pt idx="9">
                  <c:v>53.64</c:v>
                </c:pt>
                <c:pt idx="10">
                  <c:v>72.03</c:v>
                </c:pt>
                <c:pt idx="11">
                  <c:v>105.77</c:v>
                </c:pt>
                <c:pt idx="12">
                  <c:v>87.14</c:v>
                </c:pt>
                <c:pt idx="13">
                  <c:v>143.41</c:v>
                </c:pt>
                <c:pt idx="14">
                  <c:v>219.52</c:v>
                </c:pt>
                <c:pt idx="15">
                  <c:v>309.81</c:v>
                </c:pt>
                <c:pt idx="16">
                  <c:v>201.75</c:v>
                </c:pt>
                <c:pt idx="17">
                  <c:v>175.75</c:v>
                </c:pt>
                <c:pt idx="18">
                  <c:v>236.74</c:v>
                </c:pt>
                <c:pt idx="19">
                  <c:v>360.13</c:v>
                </c:pt>
                <c:pt idx="20">
                  <c:v>403.25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EF-49C9-989B-02005C831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963311"/>
        <c:axId val="13169624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'SMH Evolución Anual de Precios 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  <c:pt idx="19">
                        <c:v>2025</c:v>
                      </c:pt>
                      <c:pt idx="20">
                        <c:v>2026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'SMH Evolución Anual de Precios '!$B$2:$B$22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36.200000000000003</c:v>
                      </c:pt>
                      <c:pt idx="1">
                        <c:v>34.5</c:v>
                      </c:pt>
                      <c:pt idx="2">
                        <c:v>33.1</c:v>
                      </c:pt>
                      <c:pt idx="3">
                        <c:v>13.9</c:v>
                      </c:pt>
                      <c:pt idx="4">
                        <c:v>27.5</c:v>
                      </c:pt>
                      <c:pt idx="5">
                        <c:v>34.200000000000003</c:v>
                      </c:pt>
                      <c:pt idx="6">
                        <c:v>31.5</c:v>
                      </c:pt>
                      <c:pt idx="7">
                        <c:v>38.35</c:v>
                      </c:pt>
                      <c:pt idx="8">
                        <c:v>44.41</c:v>
                      </c:pt>
                      <c:pt idx="9">
                        <c:v>55.45</c:v>
                      </c:pt>
                      <c:pt idx="10">
                        <c:v>53.64</c:v>
                      </c:pt>
                      <c:pt idx="11">
                        <c:v>72.03</c:v>
                      </c:pt>
                      <c:pt idx="12">
                        <c:v>105.77</c:v>
                      </c:pt>
                      <c:pt idx="13">
                        <c:v>87.89</c:v>
                      </c:pt>
                      <c:pt idx="14">
                        <c:v>142</c:v>
                      </c:pt>
                      <c:pt idx="15">
                        <c:v>221.43</c:v>
                      </c:pt>
                      <c:pt idx="16">
                        <c:v>309.83</c:v>
                      </c:pt>
                      <c:pt idx="17">
                        <c:v>106.84</c:v>
                      </c:pt>
                      <c:pt idx="18">
                        <c:v>175.76</c:v>
                      </c:pt>
                      <c:pt idx="19">
                        <c:v>240.24</c:v>
                      </c:pt>
                      <c:pt idx="20">
                        <c:v>368.96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EF-49C9-989B-02005C83104C}"/>
                  </c:ext>
                </c:extLst>
              </c15:ser>
            </c15:filteredLineSeries>
          </c:ext>
        </c:extLst>
      </c:lineChart>
      <c:catAx>
        <c:axId val="131696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62479"/>
        <c:crosses val="autoZero"/>
        <c:auto val="1"/>
        <c:lblAlgn val="ctr"/>
        <c:lblOffset val="100"/>
        <c:noMultiLvlLbl val="0"/>
      </c:catAx>
      <c:valAx>
        <c:axId val="13169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6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5E73A4-A8AD-4E44-AA3D-B2C44E55D514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422" cy="62796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573D6-BC46-43A1-A97D-848A279B8E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er Novas" refreshedDate="46052.941231365738" createdVersion="7" refreshedVersion="7" minRefreshableVersion="3" recordCount="21" xr:uid="{768C4683-9D1D-4A6D-B7EC-D955FF170A3D}">
  <cacheSource type="worksheet">
    <worksheetSource ref="A1:D22" sheet="SMH Evolución Anual de Precios "/>
  </cacheSource>
  <cacheFields count="4">
    <cacheField name="Year" numFmtId="0">
      <sharedItems containsMixedTypes="1" containsNumber="1" containsInteger="1" minValue="2006" maxValue="2025" count="21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s v="2026 (YTD)"/>
      </sharedItems>
    </cacheField>
    <cacheField name="Open ($)" numFmtId="0">
      <sharedItems containsSemiMixedTypes="0" containsString="0" containsNumber="1" minValue="13.9" maxValue="368.96"/>
    </cacheField>
    <cacheField name="Close ($)" numFmtId="0">
      <sharedItems containsSemiMixedTypes="0" containsString="0" containsNumber="1" minValue="13.9" maxValue="403.25"/>
    </cacheField>
    <cacheField name="Annual Performance (%)" numFmtId="10">
      <sharedItems containsSemiMixedTypes="0" containsString="0" containsNumber="1" minValue="-0.57999999999999996" maxValue="0.9784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36.200000000000003"/>
    <n v="34.5"/>
    <n v="-4.7E-2"/>
  </r>
  <r>
    <x v="1"/>
    <n v="34.5"/>
    <n v="33.1"/>
    <n v="-4.0500000000000001E-2"/>
  </r>
  <r>
    <x v="2"/>
    <n v="33.1"/>
    <n v="13.9"/>
    <n v="-0.57999999999999996"/>
  </r>
  <r>
    <x v="3"/>
    <n v="13.9"/>
    <n v="27.5"/>
    <n v="0.97840000000000005"/>
  </r>
  <r>
    <x v="4"/>
    <n v="27.5"/>
    <n v="34.200000000000003"/>
    <n v="0.24360000000000001"/>
  </r>
  <r>
    <x v="5"/>
    <n v="34.200000000000003"/>
    <n v="31.5"/>
    <n v="-7.8899999999999998E-2"/>
  </r>
  <r>
    <x v="6"/>
    <n v="31.5"/>
    <n v="38.35"/>
    <n v="0.2175"/>
  </r>
  <r>
    <x v="7"/>
    <n v="38.35"/>
    <n v="44.41"/>
    <n v="0.158"/>
  </r>
  <r>
    <x v="8"/>
    <n v="44.41"/>
    <n v="55.45"/>
    <n v="0.24859999999999999"/>
  </r>
  <r>
    <x v="9"/>
    <n v="55.45"/>
    <n v="53.64"/>
    <n v="-3.2599999999999997E-2"/>
  </r>
  <r>
    <x v="10"/>
    <n v="53.64"/>
    <n v="72.03"/>
    <n v="0.34279999999999999"/>
  </r>
  <r>
    <x v="11"/>
    <n v="72.03"/>
    <n v="105.77"/>
    <n v="0.46839999999999998"/>
  </r>
  <r>
    <x v="12"/>
    <n v="105.77"/>
    <n v="87.14"/>
    <n v="-0.17610000000000001"/>
  </r>
  <r>
    <x v="13"/>
    <n v="87.89"/>
    <n v="143.41"/>
    <n v="0.64570000000000005"/>
  </r>
  <r>
    <x v="14"/>
    <n v="142"/>
    <n v="219.52"/>
    <n v="0.53069999999999995"/>
  </r>
  <r>
    <x v="15"/>
    <n v="221.43"/>
    <n v="309.81"/>
    <n v="0.4113"/>
  </r>
  <r>
    <x v="16"/>
    <n v="309.83"/>
    <n v="201.75"/>
    <n v="-0.3488"/>
  </r>
  <r>
    <x v="17"/>
    <n v="106.84"/>
    <n v="175.75"/>
    <n v="0.74229999999999996"/>
  </r>
  <r>
    <x v="18"/>
    <n v="175.76"/>
    <n v="236.74"/>
    <n v="0.34699999999999998"/>
  </r>
  <r>
    <x v="19"/>
    <n v="240.24"/>
    <n v="360.13"/>
    <n v="0.5212"/>
  </r>
  <r>
    <x v="20"/>
    <n v="368.96"/>
    <n v="403.25"/>
    <n v="0.1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6935A-3962-4D2A-BCF1-9766244E1FAF}" name="PivotTable7" cacheId="1" applyNumberFormats="0" applyBorderFormats="0" applyFontFormats="0" applyPatternFormats="0" applyAlignmentFormats="0" applyWidthHeightFormats="1" dataCaption="Values" grandTotalCaption="Average " updatedVersion="7" minRefreshableVersion="3" useAutoFormatting="1" itemPrintTitles="1" createdVersion="7" indent="0" outline="1" outlineData="1" multipleFieldFilters="0" rowHeaderCaption="Year">
  <location ref="F1:G23" firstHeaderRow="1" firstDataRow="1" firstDataCol="1"/>
  <pivotFields count="4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dataField="1" numFmtId="10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nnual Performance(%)" fld="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D4B9-1F4C-4DE5-A309-FCC82B2D1958}">
  <dimension ref="B1:E23"/>
  <sheetViews>
    <sheetView workbookViewId="0">
      <selection activeCell="B1" sqref="B1:E23"/>
    </sheetView>
  </sheetViews>
  <sheetFormatPr defaultRowHeight="13.2" x14ac:dyDescent="0.25"/>
  <cols>
    <col min="1" max="1" width="8.77734375" customWidth="1"/>
    <col min="2" max="2" width="11.109375" customWidth="1"/>
    <col min="3" max="3" width="12.44140625" customWidth="1"/>
    <col min="4" max="4" width="14" customWidth="1"/>
    <col min="5" max="5" width="21.5546875" bestFit="1" customWidth="1"/>
  </cols>
  <sheetData>
    <row r="1" spans="2:5" x14ac:dyDescent="0.25">
      <c r="B1" s="22" t="s">
        <v>11</v>
      </c>
    </row>
    <row r="2" spans="2:5" x14ac:dyDescent="0.25">
      <c r="B2" s="17" t="s">
        <v>1</v>
      </c>
      <c r="C2" s="17" t="s">
        <v>2</v>
      </c>
      <c r="D2" s="17" t="s">
        <v>3</v>
      </c>
      <c r="E2" s="17" t="s">
        <v>4</v>
      </c>
    </row>
    <row r="3" spans="2:5" x14ac:dyDescent="0.25">
      <c r="B3" s="15">
        <v>2006</v>
      </c>
      <c r="C3" s="15">
        <v>36.200000000000003</v>
      </c>
      <c r="D3" s="15">
        <v>34.5</v>
      </c>
      <c r="E3" s="16">
        <v>-4.7E-2</v>
      </c>
    </row>
    <row r="4" spans="2:5" x14ac:dyDescent="0.25">
      <c r="B4" s="15">
        <v>2007</v>
      </c>
      <c r="C4" s="15">
        <v>34.5</v>
      </c>
      <c r="D4" s="15">
        <v>33.1</v>
      </c>
      <c r="E4" s="16">
        <v>-4.0500000000000001E-2</v>
      </c>
    </row>
    <row r="5" spans="2:5" x14ac:dyDescent="0.25">
      <c r="B5" s="15">
        <v>2008</v>
      </c>
      <c r="C5" s="15">
        <v>33.1</v>
      </c>
      <c r="D5" s="15">
        <v>13.9</v>
      </c>
      <c r="E5" s="16">
        <v>-0.57999999999999996</v>
      </c>
    </row>
    <row r="6" spans="2:5" x14ac:dyDescent="0.25">
      <c r="B6" s="15">
        <v>2009</v>
      </c>
      <c r="C6" s="15">
        <v>13.9</v>
      </c>
      <c r="D6" s="15">
        <v>27.5</v>
      </c>
      <c r="E6" s="16">
        <v>0.97840000000000005</v>
      </c>
    </row>
    <row r="7" spans="2:5" x14ac:dyDescent="0.25">
      <c r="B7" s="15">
        <v>2010</v>
      </c>
      <c r="C7" s="15">
        <v>27.5</v>
      </c>
      <c r="D7" s="15">
        <v>34.200000000000003</v>
      </c>
      <c r="E7" s="16">
        <v>0.24360000000000001</v>
      </c>
    </row>
    <row r="8" spans="2:5" x14ac:dyDescent="0.25">
      <c r="B8" s="15">
        <v>2011</v>
      </c>
      <c r="C8" s="15">
        <v>34.200000000000003</v>
      </c>
      <c r="D8" s="15">
        <v>31.5</v>
      </c>
      <c r="E8" s="16">
        <v>-7.8899999999999998E-2</v>
      </c>
    </row>
    <row r="9" spans="2:5" x14ac:dyDescent="0.25">
      <c r="B9" s="15">
        <v>2012</v>
      </c>
      <c r="C9" s="15">
        <v>31.5</v>
      </c>
      <c r="D9" s="15">
        <v>38.35</v>
      </c>
      <c r="E9" s="16">
        <v>0.2175</v>
      </c>
    </row>
    <row r="10" spans="2:5" x14ac:dyDescent="0.25">
      <c r="B10" s="15">
        <v>2013</v>
      </c>
      <c r="C10" s="15">
        <v>38.35</v>
      </c>
      <c r="D10" s="15">
        <v>44.41</v>
      </c>
      <c r="E10" s="16">
        <v>0.158</v>
      </c>
    </row>
    <row r="11" spans="2:5" x14ac:dyDescent="0.25">
      <c r="B11" s="15">
        <v>2014</v>
      </c>
      <c r="C11" s="15">
        <v>44.41</v>
      </c>
      <c r="D11" s="15">
        <v>55.45</v>
      </c>
      <c r="E11" s="16">
        <v>0.24859999999999999</v>
      </c>
    </row>
    <row r="12" spans="2:5" x14ac:dyDescent="0.25">
      <c r="B12" s="15">
        <v>2015</v>
      </c>
      <c r="C12" s="15">
        <v>55.45</v>
      </c>
      <c r="D12" s="15">
        <v>53.64</v>
      </c>
      <c r="E12" s="16">
        <v>-3.2599999999999997E-2</v>
      </c>
    </row>
    <row r="13" spans="2:5" x14ac:dyDescent="0.25">
      <c r="B13" s="15">
        <v>2016</v>
      </c>
      <c r="C13" s="15">
        <v>53.64</v>
      </c>
      <c r="D13" s="15">
        <v>72.03</v>
      </c>
      <c r="E13" s="16">
        <v>0.34279999999999999</v>
      </c>
    </row>
    <row r="14" spans="2:5" x14ac:dyDescent="0.25">
      <c r="B14" s="15">
        <v>2017</v>
      </c>
      <c r="C14" s="15">
        <v>72.03</v>
      </c>
      <c r="D14" s="15">
        <v>105.77</v>
      </c>
      <c r="E14" s="16">
        <v>0.46839999999999998</v>
      </c>
    </row>
    <row r="15" spans="2:5" x14ac:dyDescent="0.25">
      <c r="B15" s="15">
        <v>2018</v>
      </c>
      <c r="C15" s="15">
        <v>105.77</v>
      </c>
      <c r="D15" s="15">
        <v>87.14</v>
      </c>
      <c r="E15" s="16">
        <v>-0.17610000000000001</v>
      </c>
    </row>
    <row r="16" spans="2:5" x14ac:dyDescent="0.25">
      <c r="B16" s="15">
        <v>2019</v>
      </c>
      <c r="C16" s="15">
        <v>87.89</v>
      </c>
      <c r="D16" s="15">
        <v>143.41</v>
      </c>
      <c r="E16" s="16">
        <v>0.64570000000000005</v>
      </c>
    </row>
    <row r="17" spans="2:5" x14ac:dyDescent="0.25">
      <c r="B17" s="15">
        <v>2020</v>
      </c>
      <c r="C17" s="15">
        <v>142</v>
      </c>
      <c r="D17" s="15">
        <v>219.52</v>
      </c>
      <c r="E17" s="16">
        <v>0.53069999999999995</v>
      </c>
    </row>
    <row r="18" spans="2:5" x14ac:dyDescent="0.25">
      <c r="B18" s="15">
        <v>2021</v>
      </c>
      <c r="C18" s="15">
        <v>221.43</v>
      </c>
      <c r="D18" s="15">
        <v>309.81</v>
      </c>
      <c r="E18" s="16">
        <v>0.4113</v>
      </c>
    </row>
    <row r="19" spans="2:5" x14ac:dyDescent="0.25">
      <c r="B19" s="15">
        <v>2022</v>
      </c>
      <c r="C19" s="15">
        <v>309.83</v>
      </c>
      <c r="D19" s="15">
        <v>201.75</v>
      </c>
      <c r="E19" s="16">
        <v>-0.3488</v>
      </c>
    </row>
    <row r="20" spans="2:5" x14ac:dyDescent="0.25">
      <c r="B20" s="15">
        <v>2023</v>
      </c>
      <c r="C20" s="15">
        <v>106.84</v>
      </c>
      <c r="D20" s="15">
        <v>175.75</v>
      </c>
      <c r="E20" s="16">
        <v>0.74229999999999996</v>
      </c>
    </row>
    <row r="21" spans="2:5" x14ac:dyDescent="0.25">
      <c r="B21" s="15">
        <v>2024</v>
      </c>
      <c r="C21" s="15">
        <v>175.76</v>
      </c>
      <c r="D21" s="15">
        <v>236.74</v>
      </c>
      <c r="E21" s="16">
        <v>0.34699999999999998</v>
      </c>
    </row>
    <row r="22" spans="2:5" x14ac:dyDescent="0.25">
      <c r="B22" s="15">
        <v>2025</v>
      </c>
      <c r="C22" s="15">
        <v>240.24</v>
      </c>
      <c r="D22" s="15">
        <v>360.13</v>
      </c>
      <c r="E22" s="16">
        <v>0.5212</v>
      </c>
    </row>
    <row r="23" spans="2:5" x14ac:dyDescent="0.25">
      <c r="B23" s="15">
        <v>2026</v>
      </c>
      <c r="C23" s="15">
        <v>368.96</v>
      </c>
      <c r="D23" s="15">
        <v>403.25</v>
      </c>
      <c r="E23" s="16">
        <v>0.1197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"/>
  <sheetViews>
    <sheetView workbookViewId="0">
      <selection activeCell="F24" sqref="F24"/>
    </sheetView>
  </sheetViews>
  <sheetFormatPr defaultColWidth="12.6640625" defaultRowHeight="15.75" customHeight="1" x14ac:dyDescent="0.25"/>
  <cols>
    <col min="4" max="4" width="21.77734375" customWidth="1"/>
    <col min="6" max="6" width="15.44140625" bestFit="1" customWidth="1"/>
    <col min="7" max="7" width="32.77734375" bestFit="1" customWidth="1"/>
  </cols>
  <sheetData>
    <row r="1" spans="1:9" ht="13.2" x14ac:dyDescent="0.25">
      <c r="A1" s="4" t="s">
        <v>1</v>
      </c>
      <c r="B1" s="5" t="s">
        <v>2</v>
      </c>
      <c r="C1" s="5" t="s">
        <v>3</v>
      </c>
      <c r="D1" s="6" t="s">
        <v>4</v>
      </c>
      <c r="F1" s="7" t="s">
        <v>1</v>
      </c>
      <c r="G1" t="s">
        <v>9</v>
      </c>
    </row>
    <row r="2" spans="1:9" ht="13.2" x14ac:dyDescent="0.25">
      <c r="A2" s="1">
        <v>2006</v>
      </c>
      <c r="B2" s="1">
        <v>36.200000000000003</v>
      </c>
      <c r="C2" s="1">
        <v>34.5</v>
      </c>
      <c r="D2" s="2">
        <v>-4.7E-2</v>
      </c>
      <c r="F2" s="8">
        <v>2006</v>
      </c>
      <c r="G2" s="9">
        <v>-4.7E-2</v>
      </c>
    </row>
    <row r="3" spans="1:9" ht="13.2" x14ac:dyDescent="0.25">
      <c r="A3" s="1">
        <v>2007</v>
      </c>
      <c r="B3" s="1">
        <v>34.5</v>
      </c>
      <c r="C3" s="1">
        <v>33.1</v>
      </c>
      <c r="D3" s="2">
        <v>-4.0500000000000001E-2</v>
      </c>
      <c r="F3" s="8">
        <v>2007</v>
      </c>
      <c r="G3" s="9">
        <v>-4.0500000000000001E-2</v>
      </c>
      <c r="I3" s="9"/>
    </row>
    <row r="4" spans="1:9" ht="13.2" x14ac:dyDescent="0.25">
      <c r="A4" s="1">
        <v>2008</v>
      </c>
      <c r="B4" s="1">
        <v>33.1</v>
      </c>
      <c r="C4" s="1">
        <v>13.9</v>
      </c>
      <c r="D4" s="2">
        <v>-0.57999999999999996</v>
      </c>
      <c r="F4" s="8">
        <v>2008</v>
      </c>
      <c r="G4" s="9">
        <v>-0.57999999999999996</v>
      </c>
    </row>
    <row r="5" spans="1:9" ht="13.2" x14ac:dyDescent="0.25">
      <c r="A5" s="1">
        <v>2009</v>
      </c>
      <c r="B5" s="1">
        <v>13.9</v>
      </c>
      <c r="C5" s="1">
        <v>27.5</v>
      </c>
      <c r="D5" s="2">
        <v>0.97840000000000005</v>
      </c>
      <c r="F5" s="8">
        <v>2009</v>
      </c>
      <c r="G5" s="9">
        <v>0.97840000000000005</v>
      </c>
    </row>
    <row r="6" spans="1:9" ht="13.2" x14ac:dyDescent="0.25">
      <c r="A6" s="1">
        <v>2010</v>
      </c>
      <c r="B6" s="1">
        <v>27.5</v>
      </c>
      <c r="C6" s="1">
        <v>34.200000000000003</v>
      </c>
      <c r="D6" s="2">
        <v>0.24360000000000001</v>
      </c>
      <c r="F6" s="8">
        <v>2010</v>
      </c>
      <c r="G6" s="9">
        <v>0.24360000000000001</v>
      </c>
    </row>
    <row r="7" spans="1:9" ht="13.2" x14ac:dyDescent="0.25">
      <c r="A7" s="1">
        <v>2011</v>
      </c>
      <c r="B7" s="1">
        <v>34.200000000000003</v>
      </c>
      <c r="C7" s="1">
        <v>31.5</v>
      </c>
      <c r="D7" s="2">
        <v>-7.8899999999999998E-2</v>
      </c>
      <c r="F7" s="8">
        <v>2011</v>
      </c>
      <c r="G7" s="9">
        <v>-7.8899999999999998E-2</v>
      </c>
    </row>
    <row r="8" spans="1:9" ht="13.2" x14ac:dyDescent="0.25">
      <c r="A8" s="1">
        <v>2012</v>
      </c>
      <c r="B8" s="1">
        <v>31.5</v>
      </c>
      <c r="C8" s="1">
        <v>38.35</v>
      </c>
      <c r="D8" s="2">
        <v>0.2175</v>
      </c>
      <c r="F8" s="8">
        <v>2012</v>
      </c>
      <c r="G8" s="9">
        <v>0.2175</v>
      </c>
    </row>
    <row r="9" spans="1:9" ht="13.2" x14ac:dyDescent="0.25">
      <c r="A9" s="1">
        <v>2013</v>
      </c>
      <c r="B9" s="1">
        <v>38.35</v>
      </c>
      <c r="C9" s="1">
        <v>44.41</v>
      </c>
      <c r="D9" s="2">
        <v>0.158</v>
      </c>
      <c r="F9" s="8">
        <v>2013</v>
      </c>
      <c r="G9" s="9">
        <v>0.158</v>
      </c>
    </row>
    <row r="10" spans="1:9" ht="13.2" x14ac:dyDescent="0.25">
      <c r="A10" s="1">
        <v>2014</v>
      </c>
      <c r="B10" s="1">
        <v>44.41</v>
      </c>
      <c r="C10" s="1">
        <v>55.45</v>
      </c>
      <c r="D10" s="2">
        <v>0.24859999999999999</v>
      </c>
      <c r="F10" s="8">
        <v>2014</v>
      </c>
      <c r="G10" s="9">
        <v>0.24859999999999999</v>
      </c>
    </row>
    <row r="11" spans="1:9" ht="13.2" x14ac:dyDescent="0.25">
      <c r="A11" s="1">
        <v>2015</v>
      </c>
      <c r="B11" s="1">
        <v>55.45</v>
      </c>
      <c r="C11" s="1">
        <v>53.64</v>
      </c>
      <c r="D11" s="2">
        <v>-3.2599999999999997E-2</v>
      </c>
      <c r="F11" s="8">
        <v>2015</v>
      </c>
      <c r="G11" s="9">
        <v>-3.2599999999999997E-2</v>
      </c>
    </row>
    <row r="12" spans="1:9" ht="13.2" x14ac:dyDescent="0.25">
      <c r="A12" s="1">
        <v>2016</v>
      </c>
      <c r="B12" s="1">
        <v>53.64</v>
      </c>
      <c r="C12" s="1">
        <v>72.03</v>
      </c>
      <c r="D12" s="2">
        <v>0.34279999999999999</v>
      </c>
      <c r="F12" s="8">
        <v>2016</v>
      </c>
      <c r="G12" s="9">
        <v>0.34279999999999999</v>
      </c>
    </row>
    <row r="13" spans="1:9" ht="13.2" x14ac:dyDescent="0.25">
      <c r="A13" s="1">
        <v>2017</v>
      </c>
      <c r="B13" s="1">
        <v>72.03</v>
      </c>
      <c r="C13" s="1">
        <v>105.77</v>
      </c>
      <c r="D13" s="2">
        <v>0.46839999999999998</v>
      </c>
      <c r="F13" s="8">
        <v>2017</v>
      </c>
      <c r="G13" s="9">
        <v>0.46839999999999998</v>
      </c>
    </row>
    <row r="14" spans="1:9" ht="13.2" x14ac:dyDescent="0.25">
      <c r="A14" s="1">
        <v>2018</v>
      </c>
      <c r="B14" s="1">
        <v>105.77</v>
      </c>
      <c r="C14" s="1">
        <v>87.14</v>
      </c>
      <c r="D14" s="2">
        <v>-0.17610000000000001</v>
      </c>
      <c r="F14" s="8">
        <v>2018</v>
      </c>
      <c r="G14" s="9">
        <v>-0.17610000000000001</v>
      </c>
    </row>
    <row r="15" spans="1:9" ht="13.2" x14ac:dyDescent="0.25">
      <c r="A15" s="1">
        <v>2019</v>
      </c>
      <c r="B15" s="1">
        <v>87.89</v>
      </c>
      <c r="C15" s="1">
        <v>143.41</v>
      </c>
      <c r="D15" s="2">
        <v>0.64570000000000005</v>
      </c>
      <c r="F15" s="8">
        <v>2019</v>
      </c>
      <c r="G15" s="9">
        <v>0.64570000000000005</v>
      </c>
    </row>
    <row r="16" spans="1:9" ht="13.2" x14ac:dyDescent="0.25">
      <c r="A16" s="1">
        <v>2020</v>
      </c>
      <c r="B16" s="1">
        <v>142</v>
      </c>
      <c r="C16" s="1">
        <v>219.52</v>
      </c>
      <c r="D16" s="2">
        <v>0.53069999999999995</v>
      </c>
      <c r="F16" s="8">
        <v>2020</v>
      </c>
      <c r="G16" s="9">
        <v>0.53069999999999995</v>
      </c>
    </row>
    <row r="17" spans="1:7" ht="13.2" x14ac:dyDescent="0.25">
      <c r="A17" s="1">
        <v>2021</v>
      </c>
      <c r="B17" s="1">
        <v>221.43</v>
      </c>
      <c r="C17" s="1">
        <v>309.81</v>
      </c>
      <c r="D17" s="2">
        <v>0.4113</v>
      </c>
      <c r="F17" s="8">
        <v>2021</v>
      </c>
      <c r="G17" s="9">
        <v>0.4113</v>
      </c>
    </row>
    <row r="18" spans="1:7" ht="13.2" x14ac:dyDescent="0.25">
      <c r="A18" s="1">
        <v>2022</v>
      </c>
      <c r="B18" s="1">
        <v>309.83</v>
      </c>
      <c r="C18" s="1">
        <v>201.75</v>
      </c>
      <c r="D18" s="2">
        <v>-0.3488</v>
      </c>
      <c r="F18" s="8">
        <v>2022</v>
      </c>
      <c r="G18" s="9">
        <v>-0.3488</v>
      </c>
    </row>
    <row r="19" spans="1:7" ht="13.2" x14ac:dyDescent="0.25">
      <c r="A19" s="1">
        <v>2023</v>
      </c>
      <c r="B19" s="1">
        <v>106.84</v>
      </c>
      <c r="C19" s="1">
        <v>175.75</v>
      </c>
      <c r="D19" s="2">
        <v>0.74229999999999996</v>
      </c>
      <c r="F19" s="8">
        <v>2023</v>
      </c>
      <c r="G19" s="9">
        <v>0.74229999999999996</v>
      </c>
    </row>
    <row r="20" spans="1:7" ht="13.2" x14ac:dyDescent="0.25">
      <c r="A20" s="1">
        <v>2024</v>
      </c>
      <c r="B20" s="1">
        <v>175.76</v>
      </c>
      <c r="C20" s="1">
        <v>236.74</v>
      </c>
      <c r="D20" s="2">
        <v>0.34699999999999998</v>
      </c>
      <c r="F20" s="8">
        <v>2024</v>
      </c>
      <c r="G20" s="9">
        <v>0.34699999999999998</v>
      </c>
    </row>
    <row r="21" spans="1:7" ht="13.2" x14ac:dyDescent="0.25">
      <c r="A21" s="1">
        <v>2025</v>
      </c>
      <c r="B21" s="1">
        <v>240.24</v>
      </c>
      <c r="C21" s="1">
        <v>360.13</v>
      </c>
      <c r="D21" s="2">
        <v>0.5212</v>
      </c>
      <c r="F21" s="8">
        <v>2025</v>
      </c>
      <c r="G21" s="9">
        <v>0.5212</v>
      </c>
    </row>
    <row r="22" spans="1:7" ht="15.75" customHeight="1" x14ac:dyDescent="0.25">
      <c r="A22" s="3">
        <v>2026</v>
      </c>
      <c r="B22" s="1">
        <v>368.96</v>
      </c>
      <c r="C22" s="1">
        <v>403.25</v>
      </c>
      <c r="D22" s="2">
        <v>0.1197</v>
      </c>
      <c r="F22" s="8" t="s">
        <v>0</v>
      </c>
      <c r="G22" s="9">
        <v>0.1197</v>
      </c>
    </row>
    <row r="23" spans="1:7" ht="15.75" customHeight="1" x14ac:dyDescent="0.25">
      <c r="F23" s="8" t="s">
        <v>10</v>
      </c>
      <c r="G23" s="9">
        <v>0.22244285714285716</v>
      </c>
    </row>
  </sheetData>
  <sortState xmlns:xlrd2="http://schemas.microsoft.com/office/spreadsheetml/2017/richdata2" ref="A2:D21">
    <sortCondition ref="A2:A21"/>
  </sortState>
  <conditionalFormatting sqref="D2:D22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D97B-5DBC-4757-B502-4E7A290C124D}">
  <dimension ref="A1:V14"/>
  <sheetViews>
    <sheetView tabSelected="1" workbookViewId="0">
      <selection activeCell="F14" sqref="F14"/>
    </sheetView>
  </sheetViews>
  <sheetFormatPr defaultRowHeight="13.2" x14ac:dyDescent="0.25"/>
  <cols>
    <col min="1" max="1" width="10.6640625" bestFit="1" customWidth="1"/>
    <col min="2" max="2" width="12.44140625" bestFit="1" customWidth="1"/>
  </cols>
  <sheetData>
    <row r="1" spans="1:22" x14ac:dyDescent="0.25">
      <c r="A1" s="10" t="s">
        <v>5</v>
      </c>
      <c r="B1" s="11">
        <v>10000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x14ac:dyDescent="0.25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5">
      <c r="A3" s="10" t="s">
        <v>1</v>
      </c>
      <c r="B3" s="14">
        <v>2006</v>
      </c>
      <c r="C3" s="14">
        <v>2007</v>
      </c>
      <c r="D3" s="14">
        <v>2008</v>
      </c>
      <c r="E3" s="14">
        <v>2009</v>
      </c>
      <c r="F3" s="14">
        <v>2010</v>
      </c>
      <c r="G3" s="14">
        <v>2011</v>
      </c>
      <c r="H3" s="14">
        <v>2012</v>
      </c>
      <c r="I3" s="14">
        <v>2013</v>
      </c>
      <c r="J3" s="14">
        <v>2014</v>
      </c>
      <c r="K3" s="14">
        <v>2015</v>
      </c>
      <c r="L3" s="14">
        <v>2016</v>
      </c>
      <c r="M3" s="14">
        <v>2017</v>
      </c>
      <c r="N3" s="14">
        <v>2018</v>
      </c>
      <c r="O3" s="14">
        <v>2019</v>
      </c>
      <c r="P3" s="14">
        <v>2020</v>
      </c>
      <c r="Q3" s="14">
        <v>2021</v>
      </c>
      <c r="R3" s="14">
        <v>2022</v>
      </c>
      <c r="S3" s="14">
        <v>2023</v>
      </c>
      <c r="T3" s="14">
        <v>2024</v>
      </c>
      <c r="U3" s="14">
        <v>2025</v>
      </c>
      <c r="V3" s="14">
        <v>2026</v>
      </c>
    </row>
    <row r="4" spans="1:22" x14ac:dyDescent="0.25">
      <c r="A4" s="10" t="s">
        <v>6</v>
      </c>
      <c r="B4" s="18">
        <v>-4.7E-2</v>
      </c>
      <c r="C4" s="18">
        <v>-4.0500000000000001E-2</v>
      </c>
      <c r="D4" s="18">
        <v>-0.57999999999999996</v>
      </c>
      <c r="E4" s="18">
        <v>0.97840000000000005</v>
      </c>
      <c r="F4" s="18">
        <v>0.24360000000000001</v>
      </c>
      <c r="G4" s="18">
        <v>-7.8899999999999998E-2</v>
      </c>
      <c r="H4" s="18">
        <v>0.2175</v>
      </c>
      <c r="I4" s="18">
        <v>0.158</v>
      </c>
      <c r="J4" s="18">
        <v>0.24859999999999999</v>
      </c>
      <c r="K4" s="18">
        <v>-3.2599999999999997E-2</v>
      </c>
      <c r="L4" s="18">
        <v>0.34279999999999999</v>
      </c>
      <c r="M4" s="18">
        <v>0.46839999999999998</v>
      </c>
      <c r="N4" s="18">
        <v>-0.17610000000000001</v>
      </c>
      <c r="O4" s="18">
        <v>0.64570000000000005</v>
      </c>
      <c r="P4" s="18">
        <v>0.53069999999999995</v>
      </c>
      <c r="Q4" s="18">
        <v>0.4113</v>
      </c>
      <c r="R4" s="18">
        <v>-0.3488</v>
      </c>
      <c r="S4" s="18">
        <v>0.74229999999999996</v>
      </c>
      <c r="T4" s="18">
        <v>0.34699999999999998</v>
      </c>
      <c r="U4" s="18">
        <v>0.5212</v>
      </c>
      <c r="V4" s="18">
        <v>0.1197</v>
      </c>
    </row>
    <row r="5" spans="1:22" x14ac:dyDescent="0.25">
      <c r="A5" s="13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25">
      <c r="A6" s="10" t="s">
        <v>7</v>
      </c>
      <c r="B6" s="11" cm="1">
        <f t="array" ref="B6">B1*PRODUCT(1+B4:V4)</f>
        <v>222832.70658955601</v>
      </c>
      <c r="C6" s="19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25">
      <c r="A7" s="10" t="s">
        <v>8</v>
      </c>
      <c r="B7" s="11">
        <f>B6-B1</f>
        <v>212832.70658955601</v>
      </c>
      <c r="C7" s="2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14" spans="1:22" x14ac:dyDescent="0.25">
      <c r="D14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Start</vt:lpstr>
      <vt:lpstr>SMH Evolución Anual de Precios </vt:lpstr>
      <vt:lpstr>Investment example</vt:lpstr>
      <vt:lpstr>Chart of Close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 Novas</dc:creator>
  <cp:lastModifiedBy>Rider Novas</cp:lastModifiedBy>
  <dcterms:created xsi:type="dcterms:W3CDTF">2026-01-31T04:30:15Z</dcterms:created>
  <dcterms:modified xsi:type="dcterms:W3CDTF">2026-02-13T02:47:39Z</dcterms:modified>
</cp:coreProperties>
</file>