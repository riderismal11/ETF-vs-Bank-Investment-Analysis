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der\OneDrive\Escritorio\Proyecto\"/>
    </mc:Choice>
  </mc:AlternateContent>
  <xr:revisionPtr revIDLastSave="0" documentId="13_ncr:1_{16BC3A03-90ED-4CFD-8B91-3AFF77C00C3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art" sheetId="4" r:id="rId1"/>
    <sheet name="VTI Performance" sheetId="1" r:id="rId2"/>
    <sheet name="Chart of Close Range" sheetId="2" r:id="rId3"/>
    <sheet name="Investment example" sheetId="7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4" l="1"/>
  <c r="F3" i="4"/>
  <c r="F4" i="4" s="1"/>
  <c r="F5" i="4" s="1"/>
  <c r="B7" i="7" a="1"/>
  <c r="B7" i="7"/>
  <c r="B8" i="7" s="1"/>
  <c r="F7" i="4" l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<sst xmlns="http://schemas.openxmlformats.org/spreadsheetml/2006/main" count="17" uniqueCount="12">
  <si>
    <t>Row Labels</t>
  </si>
  <si>
    <t>Grand Total</t>
  </si>
  <si>
    <t>Year</t>
  </si>
  <si>
    <t>Open ($)</t>
  </si>
  <si>
    <t>Close ($)</t>
  </si>
  <si>
    <t>Annual Performance (%)</t>
  </si>
  <si>
    <t>%</t>
  </si>
  <si>
    <t>Final capital</t>
  </si>
  <si>
    <t>Total profit</t>
  </si>
  <si>
    <t>Average of Annual Performance (%)</t>
  </si>
  <si>
    <t>Investment</t>
  </si>
  <si>
    <t>VTI (ETF)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</si>
</sst>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 applyAlignment="1"/>
    <xf numFmtId="10" fontId="1" fillId="0" borderId="0" xfId="0" applyNumberFormat="1" applyFont="1" applyAlignment="1">
      <alignment horizont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2" fillId="0" borderId="0" xfId="0" applyFont="1" applyAlignment="1"/>
    <xf numFmtId="10" fontId="0" fillId="0" borderId="0" xfId="2" applyNumberFormat="1" applyFont="1" applyAlignment="1"/>
    <xf numFmtId="0" fontId="0" fillId="2" borderId="1" xfId="0" applyFont="1" applyFill="1" applyBorder="1" applyAlignment="1"/>
    <xf numFmtId="0" fontId="0" fillId="0" borderId="1" xfId="0" applyFont="1" applyBorder="1" applyAlignment="1"/>
    <xf numFmtId="164" fontId="0" fillId="0" borderId="1" xfId="2" applyNumberFormat="1" applyFont="1" applyBorder="1" applyAlignment="1"/>
    <xf numFmtId="0" fontId="3" fillId="2" borderId="1" xfId="0" applyFont="1" applyFill="1" applyBorder="1" applyAlignment="1"/>
    <xf numFmtId="10" fontId="0" fillId="0" borderId="1" xfId="2" applyNumberFormat="1" applyFont="1" applyBorder="1" applyAlignment="1"/>
    <xf numFmtId="44" fontId="0" fillId="0" borderId="1" xfId="1" applyFont="1" applyBorder="1" applyAlignment="1"/>
    <xf numFmtId="10" fontId="0" fillId="0" borderId="0" xfId="0" applyNumberFormat="1" applyFont="1" applyAlignment="1"/>
    <xf numFmtId="0" fontId="3" fillId="0" borderId="0" xfId="0" applyFont="1" applyAlignment="1"/>
    <xf numFmtId="8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of Close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'VTI Performance'!$C$1</c:f>
              <c:strCache>
                <c:ptCount val="1"/>
                <c:pt idx="0">
                  <c:v>Close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'VTI Performance'!$A$2:$A$22</c:f>
              <c:numCache>
                <c:formatCode>General</c:formatCod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numCache>
            </c:numRef>
          </c:cat>
          <c:val>
            <c:numRef>
              <c:f>'VTI Performance'!$C$2:$C$22</c:f>
              <c:numCache>
                <c:formatCode>General</c:formatCode>
                <c:ptCount val="21"/>
                <c:pt idx="0">
                  <c:v>63.45</c:v>
                </c:pt>
                <c:pt idx="1">
                  <c:v>66.38</c:v>
                </c:pt>
                <c:pt idx="2">
                  <c:v>41.57</c:v>
                </c:pt>
                <c:pt idx="3">
                  <c:v>52.42</c:v>
                </c:pt>
                <c:pt idx="4">
                  <c:v>60.34</c:v>
                </c:pt>
                <c:pt idx="5">
                  <c:v>60.27</c:v>
                </c:pt>
                <c:pt idx="6">
                  <c:v>68.64</c:v>
                </c:pt>
                <c:pt idx="7">
                  <c:v>90.14</c:v>
                </c:pt>
                <c:pt idx="8">
                  <c:v>99.7</c:v>
                </c:pt>
                <c:pt idx="9">
                  <c:v>98.52</c:v>
                </c:pt>
                <c:pt idx="10">
                  <c:v>108.87</c:v>
                </c:pt>
                <c:pt idx="11">
                  <c:v>129.91999999999999</c:v>
                </c:pt>
                <c:pt idx="12">
                  <c:v>122.76</c:v>
                </c:pt>
                <c:pt idx="13">
                  <c:v>158</c:v>
                </c:pt>
                <c:pt idx="14">
                  <c:v>188.56</c:v>
                </c:pt>
                <c:pt idx="15">
                  <c:v>233.55</c:v>
                </c:pt>
                <c:pt idx="16">
                  <c:v>187.06</c:v>
                </c:pt>
                <c:pt idx="17">
                  <c:v>232.01</c:v>
                </c:pt>
                <c:pt idx="18">
                  <c:v>266.01</c:v>
                </c:pt>
                <c:pt idx="19">
                  <c:v>335.27</c:v>
                </c:pt>
                <c:pt idx="20">
                  <c:v>343.37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B-4B81-80F6-6B8D553B3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308575"/>
        <c:axId val="13123114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'VTI Performance'!$B$1</c15:sqref>
                        </c15:formulaRef>
                      </c:ext>
                    </c:extLst>
                    <c:strCache>
                      <c:ptCount val="1"/>
                      <c:pt idx="0">
                        <c:v>Open ($)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'VTI Performance'!$A$2:$A$22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16">
                        <c:v>2022</c:v>
                      </c:pt>
                      <c:pt idx="17">
                        <c:v>2023</c:v>
                      </c:pt>
                      <c:pt idx="18">
                        <c:v>2024</c:v>
                      </c:pt>
                      <c:pt idx="19">
                        <c:v>2025</c:v>
                      </c:pt>
                      <c:pt idx="20">
                        <c:v>2026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'VTI Performance'!$B$2:$B$22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55.03</c:v>
                      </c:pt>
                      <c:pt idx="1">
                        <c:v>63.8</c:v>
                      </c:pt>
                      <c:pt idx="2">
                        <c:v>66.819999999999993</c:v>
                      </c:pt>
                      <c:pt idx="3">
                        <c:v>42.66</c:v>
                      </c:pt>
                      <c:pt idx="4">
                        <c:v>53.07</c:v>
                      </c:pt>
                      <c:pt idx="5">
                        <c:v>61.42</c:v>
                      </c:pt>
                      <c:pt idx="6">
                        <c:v>61.27</c:v>
                      </c:pt>
                      <c:pt idx="7">
                        <c:v>70.38</c:v>
                      </c:pt>
                      <c:pt idx="8">
                        <c:v>91.95</c:v>
                      </c:pt>
                      <c:pt idx="9">
                        <c:v>106</c:v>
                      </c:pt>
                      <c:pt idx="10">
                        <c:v>104.38</c:v>
                      </c:pt>
                      <c:pt idx="11">
                        <c:v>110.45</c:v>
                      </c:pt>
                      <c:pt idx="12">
                        <c:v>137.52000000000001</c:v>
                      </c:pt>
                      <c:pt idx="13">
                        <c:v>120.3</c:v>
                      </c:pt>
                      <c:pt idx="14">
                        <c:v>163.76</c:v>
                      </c:pt>
                      <c:pt idx="15">
                        <c:v>191.03</c:v>
                      </c:pt>
                      <c:pt idx="16">
                        <c:v>240.5</c:v>
                      </c:pt>
                      <c:pt idx="17">
                        <c:v>188.59</c:v>
                      </c:pt>
                      <c:pt idx="18">
                        <c:v>232.06</c:v>
                      </c:pt>
                      <c:pt idx="19">
                        <c:v>266.3</c:v>
                      </c:pt>
                      <c:pt idx="20">
                        <c:v>337.2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9B-4B81-80F6-6B8D553B3C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'VTI Performance'!$D$1</c15:sqref>
                        </c15:formulaRef>
                      </c:ext>
                    </c:extLst>
                    <c:strCache>
                      <c:ptCount val="1"/>
                      <c:pt idx="0">
                        <c:v>Annual Performance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'VTI Performance'!$A$2:$A$22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16">
                        <c:v>2022</c:v>
                      </c:pt>
                      <c:pt idx="17">
                        <c:v>2023</c:v>
                      </c:pt>
                      <c:pt idx="18">
                        <c:v>2024</c:v>
                      </c:pt>
                      <c:pt idx="19">
                        <c:v>2025</c:v>
                      </c:pt>
                      <c:pt idx="20">
                        <c:v>2026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'VTI Performance'!$D$2:$D$22</c15:sqref>
                        </c15:formulaRef>
                      </c:ext>
                    </c:extLst>
                    <c:numCache>
                      <c:formatCode>0.00%</c:formatCode>
                      <c:ptCount val="21"/>
                      <c:pt idx="0">
                        <c:v>0.15509999999999999</c:v>
                      </c:pt>
                      <c:pt idx="1">
                        <c:v>4.6199999999999998E-2</c:v>
                      </c:pt>
                      <c:pt idx="2">
                        <c:v>-0.37380000000000002</c:v>
                      </c:pt>
                      <c:pt idx="3">
                        <c:v>0.26100000000000001</c:v>
                      </c:pt>
                      <c:pt idx="4">
                        <c:v>0.15110000000000001</c:v>
                      </c:pt>
                      <c:pt idx="5">
                        <c:v>-1.1999999999999999E-3</c:v>
                      </c:pt>
                      <c:pt idx="6">
                        <c:v>0.13880000000000001</c:v>
                      </c:pt>
                      <c:pt idx="7">
                        <c:v>0.31330000000000002</c:v>
                      </c:pt>
                      <c:pt idx="8">
                        <c:v>0.106</c:v>
                      </c:pt>
                      <c:pt idx="9">
                        <c:v>-1.18E-2</c:v>
                      </c:pt>
                      <c:pt idx="10">
                        <c:v>0.1051</c:v>
                      </c:pt>
                      <c:pt idx="11">
                        <c:v>0.1933</c:v>
                      </c:pt>
                      <c:pt idx="12">
                        <c:v>-5.5100000000000003E-2</c:v>
                      </c:pt>
                      <c:pt idx="13">
                        <c:v>0.28710000000000002</c:v>
                      </c:pt>
                      <c:pt idx="14">
                        <c:v>0.19339999999999999</c:v>
                      </c:pt>
                      <c:pt idx="15">
                        <c:v>0.23860000000000001</c:v>
                      </c:pt>
                      <c:pt idx="16">
                        <c:v>-0.1991</c:v>
                      </c:pt>
                      <c:pt idx="17">
                        <c:v>0.24030000000000001</c:v>
                      </c:pt>
                      <c:pt idx="18">
                        <c:v>0.14649999999999999</c:v>
                      </c:pt>
                      <c:pt idx="19">
                        <c:v>0.26040000000000002</c:v>
                      </c:pt>
                      <c:pt idx="20">
                        <c:v>2.4199999999999999E-2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9B-4B81-80F6-6B8D553B3C9D}"/>
                  </c:ext>
                </c:extLst>
              </c15:ser>
            </c15:filteredLineSeries>
          </c:ext>
        </c:extLst>
      </c:lineChart>
      <c:catAx>
        <c:axId val="1312308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311487"/>
        <c:crosses val="autoZero"/>
        <c:auto val="1"/>
        <c:lblAlgn val="ctr"/>
        <c:lblOffset val="100"/>
        <c:noMultiLvlLbl val="0"/>
      </c:catAx>
      <c:valAx>
        <c:axId val="131231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30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38B451-BA44-49A7-B5B2-1527A8350D12}">
  <sheetPr/>
  <sheetViews>
    <sheetView zoomScale="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422" cy="62796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EB1E60-972E-41D3-9ABE-35DDF3DD1F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der Novas" refreshedDate="46063.484575578703" createdVersion="7" refreshedVersion="7" minRefreshableVersion="3" recordCount="21" xr:uid="{9D7F5547-6F79-4594-8943-3AA4FF4016CB}">
  <cacheSource type="worksheet">
    <worksheetSource name="Table1"/>
  </cacheSource>
  <cacheFields count="4">
    <cacheField name="Year" numFmtId="0">
      <sharedItems containsSemiMixedTypes="0" containsString="0" containsNumber="1" containsInteger="1" minValue="2006" maxValue="2026" count="21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Open ($)" numFmtId="0">
      <sharedItems containsSemiMixedTypes="0" containsString="0" containsNumber="1" minValue="42.66" maxValue="337.2"/>
    </cacheField>
    <cacheField name="Close ($)" numFmtId="0">
      <sharedItems containsSemiMixedTypes="0" containsString="0" containsNumber="1" minValue="41.57" maxValue="343.37"/>
    </cacheField>
    <cacheField name="Annual Performance (%)" numFmtId="10">
      <sharedItems containsSemiMixedTypes="0" containsString="0" containsNumber="1" minValue="-0.37380000000000002" maxValue="0.3133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55.03"/>
    <n v="63.45"/>
    <n v="0.15509999999999999"/>
  </r>
  <r>
    <x v="1"/>
    <n v="63.8"/>
    <n v="66.38"/>
    <n v="4.6199999999999998E-2"/>
  </r>
  <r>
    <x v="2"/>
    <n v="66.819999999999993"/>
    <n v="41.57"/>
    <n v="-0.37380000000000002"/>
  </r>
  <r>
    <x v="3"/>
    <n v="42.66"/>
    <n v="52.42"/>
    <n v="0.26100000000000001"/>
  </r>
  <r>
    <x v="4"/>
    <n v="53.07"/>
    <n v="60.34"/>
    <n v="0.15110000000000001"/>
  </r>
  <r>
    <x v="5"/>
    <n v="61.42"/>
    <n v="60.27"/>
    <n v="-1.1999999999999999E-3"/>
  </r>
  <r>
    <x v="6"/>
    <n v="61.27"/>
    <n v="68.64"/>
    <n v="0.13880000000000001"/>
  </r>
  <r>
    <x v="7"/>
    <n v="70.38"/>
    <n v="90.14"/>
    <n v="0.31330000000000002"/>
  </r>
  <r>
    <x v="8"/>
    <n v="91.95"/>
    <n v="99.7"/>
    <n v="0.106"/>
  </r>
  <r>
    <x v="9"/>
    <n v="106"/>
    <n v="98.52"/>
    <n v="-1.18E-2"/>
  </r>
  <r>
    <x v="10"/>
    <n v="104.38"/>
    <n v="108.87"/>
    <n v="0.1051"/>
  </r>
  <r>
    <x v="11"/>
    <n v="110.45"/>
    <n v="129.91999999999999"/>
    <n v="0.1933"/>
  </r>
  <r>
    <x v="12"/>
    <n v="137.52000000000001"/>
    <n v="122.76"/>
    <n v="-5.5100000000000003E-2"/>
  </r>
  <r>
    <x v="13"/>
    <n v="120.3"/>
    <n v="158"/>
    <n v="0.28710000000000002"/>
  </r>
  <r>
    <x v="14"/>
    <n v="163.76"/>
    <n v="188.56"/>
    <n v="0.19339999999999999"/>
  </r>
  <r>
    <x v="15"/>
    <n v="191.03"/>
    <n v="233.55"/>
    <n v="0.23860000000000001"/>
  </r>
  <r>
    <x v="16"/>
    <n v="240.5"/>
    <n v="187.06"/>
    <n v="-0.1991"/>
  </r>
  <r>
    <x v="17"/>
    <n v="188.59"/>
    <n v="232.01"/>
    <n v="0.24030000000000001"/>
  </r>
  <r>
    <x v="18"/>
    <n v="232.06"/>
    <n v="266.01"/>
    <n v="0.14649999999999999"/>
  </r>
  <r>
    <x v="19"/>
    <n v="266.3"/>
    <n v="335.27"/>
    <n v="0.26040000000000002"/>
  </r>
  <r>
    <x v="20"/>
    <n v="337.2"/>
    <n v="343.37"/>
    <n v="2.419999999999999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7F615-C848-4ED4-8EF5-14032BE0E978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2:G24" firstHeaderRow="1" firstDataRow="1" firstDataCol="1"/>
  <pivotFields count="4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dataField="1" numFmtId="10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of Annual Performance (%)" fld="3" subtotal="average" baseField="0" baseItem="2" numFmtId="10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7CE148-FDCB-415C-B25F-7449BE47BAD4}" name="Table1" displayName="Table1" ref="A1:D22" totalsRowShown="0" headerRowDxfId="6" dataDxfId="5">
  <autoFilter ref="A1:D22" xr:uid="{297CE148-FDCB-415C-B25F-7449BE47BAD4}"/>
  <tableColumns count="4">
    <tableColumn id="1" xr3:uid="{26315C9C-6BF8-4A91-A8C5-2DB4C9F81F4A}" name="Year" dataDxfId="4"/>
    <tableColumn id="2" xr3:uid="{5EC0FC51-10A2-4D4B-A985-E4E67EF6DFC1}" name="Open ($)" dataDxfId="3"/>
    <tableColumn id="3" xr3:uid="{7C8464CD-FB58-4294-8697-C43E1E0E18F6}" name="Close ($)" dataDxfId="2"/>
    <tableColumn id="4" xr3:uid="{95599ABE-9667-4EC3-9600-4C4BDCB5B726}" name="Annual Performance (%)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1193-51A6-4025-B545-8FD1F66D3017}">
  <dimension ref="B1:F23"/>
  <sheetViews>
    <sheetView workbookViewId="0">
      <selection activeCell="I6" sqref="I6"/>
    </sheetView>
  </sheetViews>
  <sheetFormatPr defaultRowHeight="13.2" x14ac:dyDescent="0.25"/>
  <cols>
    <col min="1" max="1" width="7.6640625" customWidth="1"/>
    <col min="2" max="2" width="15" customWidth="1"/>
    <col min="3" max="3" width="16.44140625" customWidth="1"/>
    <col min="4" max="4" width="21.5546875" bestFit="1" customWidth="1"/>
    <col min="5" max="5" width="21.109375" customWidth="1"/>
    <col min="6" max="6" width="11.44140625" bestFit="1" customWidth="1"/>
  </cols>
  <sheetData>
    <row r="1" spans="2:6" x14ac:dyDescent="0.25">
      <c r="B1" s="14" t="s">
        <v>11</v>
      </c>
    </row>
    <row r="2" spans="2:6" x14ac:dyDescent="0.25">
      <c r="B2" s="7" t="s">
        <v>2</v>
      </c>
      <c r="C2" s="7" t="s">
        <v>3</v>
      </c>
      <c r="D2" s="7" t="s">
        <v>4</v>
      </c>
      <c r="E2" s="7" t="s">
        <v>5</v>
      </c>
    </row>
    <row r="3" spans="2:6" x14ac:dyDescent="0.25">
      <c r="B3" s="8">
        <v>2006</v>
      </c>
      <c r="C3" s="8">
        <v>55.03</v>
      </c>
      <c r="D3" s="8">
        <v>63.45</v>
      </c>
      <c r="E3" s="9">
        <v>0.15509999999999999</v>
      </c>
      <c r="F3" s="15">
        <f>FV(E3,1,0,-10000)</f>
        <v>11551</v>
      </c>
    </row>
    <row r="4" spans="2:6" x14ac:dyDescent="0.25">
      <c r="B4" s="8">
        <v>2007</v>
      </c>
      <c r="C4" s="8">
        <v>63.8</v>
      </c>
      <c r="D4" s="8">
        <v>66.38</v>
      </c>
      <c r="E4" s="9">
        <v>4.6199999999999998E-2</v>
      </c>
      <c r="F4" s="15">
        <f>FV(E4,1,0,-F3)</f>
        <v>12084.656199999999</v>
      </c>
    </row>
    <row r="5" spans="2:6" x14ac:dyDescent="0.25">
      <c r="B5" s="8">
        <v>2008</v>
      </c>
      <c r="C5" s="8">
        <v>66.819999999999993</v>
      </c>
      <c r="D5" s="8">
        <v>41.57</v>
      </c>
      <c r="E5" s="9">
        <v>-0.37380000000000002</v>
      </c>
      <c r="F5" s="15">
        <f>FV(E5,1,0,-F4)</f>
        <v>7567.4117124399991</v>
      </c>
    </row>
    <row r="6" spans="2:6" x14ac:dyDescent="0.25">
      <c r="B6" s="8">
        <v>2009</v>
      </c>
      <c r="C6" s="8">
        <v>42.66</v>
      </c>
      <c r="D6" s="8">
        <v>52.42</v>
      </c>
      <c r="E6" s="9">
        <v>0.26100000000000001</v>
      </c>
      <c r="F6" s="15">
        <f>FV(E6,1,0,-F5)</f>
        <v>9542.5061693868392</v>
      </c>
    </row>
    <row r="7" spans="2:6" x14ac:dyDescent="0.25">
      <c r="B7" s="8">
        <v>2010</v>
      </c>
      <c r="C7" s="8">
        <v>53.07</v>
      </c>
      <c r="D7" s="8">
        <v>60.34</v>
      </c>
      <c r="E7" s="9">
        <v>0.15110000000000001</v>
      </c>
      <c r="F7" s="15">
        <f>FV(E7,1,0,-F6)</f>
        <v>10984.37885158119</v>
      </c>
    </row>
    <row r="8" spans="2:6" x14ac:dyDescent="0.25">
      <c r="B8" s="8">
        <v>2011</v>
      </c>
      <c r="C8" s="8">
        <v>61.42</v>
      </c>
      <c r="D8" s="8">
        <v>60.27</v>
      </c>
      <c r="E8" s="9">
        <v>-1.1999999999999999E-3</v>
      </c>
      <c r="F8" s="15">
        <f>FV(E8,1,0,-F7)</f>
        <v>10971.197596959293</v>
      </c>
    </row>
    <row r="9" spans="2:6" x14ac:dyDescent="0.25">
      <c r="B9" s="8">
        <v>2012</v>
      </c>
      <c r="C9" s="8">
        <v>61.27</v>
      </c>
      <c r="D9" s="8">
        <v>68.64</v>
      </c>
      <c r="E9" s="9">
        <v>0.13880000000000001</v>
      </c>
      <c r="F9" s="15">
        <f>FV(E9,1,0,-F8)</f>
        <v>12493.999823417244</v>
      </c>
    </row>
    <row r="10" spans="2:6" x14ac:dyDescent="0.25">
      <c r="B10" s="8">
        <v>2013</v>
      </c>
      <c r="C10" s="8">
        <v>70.38</v>
      </c>
      <c r="D10" s="8">
        <v>90.14</v>
      </c>
      <c r="E10" s="9">
        <v>0.31330000000000002</v>
      </c>
      <c r="F10" s="15">
        <f>FV(E10,1,0,-F9)</f>
        <v>16408.369968093866</v>
      </c>
    </row>
    <row r="11" spans="2:6" x14ac:dyDescent="0.25">
      <c r="B11" s="8">
        <v>2014</v>
      </c>
      <c r="C11" s="8">
        <v>91.95</v>
      </c>
      <c r="D11" s="8">
        <v>99.7</v>
      </c>
      <c r="E11" s="9">
        <v>0.106</v>
      </c>
      <c r="F11" s="15">
        <f>FV(E11,1,0,-F10)</f>
        <v>18147.657184711818</v>
      </c>
    </row>
    <row r="12" spans="2:6" x14ac:dyDescent="0.25">
      <c r="B12" s="8">
        <v>2015</v>
      </c>
      <c r="C12" s="8">
        <v>106</v>
      </c>
      <c r="D12" s="8">
        <v>98.52</v>
      </c>
      <c r="E12" s="9">
        <v>-1.18E-2</v>
      </c>
      <c r="F12" s="15">
        <f>FV(E12,1,0,-F11)</f>
        <v>17933.514829932217</v>
      </c>
    </row>
    <row r="13" spans="2:6" x14ac:dyDescent="0.25">
      <c r="B13" s="8">
        <v>2016</v>
      </c>
      <c r="C13" s="8">
        <v>104.38</v>
      </c>
      <c r="D13" s="8">
        <v>108.87</v>
      </c>
      <c r="E13" s="9">
        <v>0.1051</v>
      </c>
      <c r="F13" s="15">
        <f>FV(E13,1,0,-F12)</f>
        <v>19818.327238558093</v>
      </c>
    </row>
    <row r="14" spans="2:6" x14ac:dyDescent="0.25">
      <c r="B14" s="8">
        <v>2017</v>
      </c>
      <c r="C14" s="8">
        <v>110.45</v>
      </c>
      <c r="D14" s="8">
        <v>129.91999999999999</v>
      </c>
      <c r="E14" s="9">
        <v>0.1933</v>
      </c>
      <c r="F14" s="15">
        <f>FV(E14,1,0,-F13)</f>
        <v>23649.209893771374</v>
      </c>
    </row>
    <row r="15" spans="2:6" x14ac:dyDescent="0.25">
      <c r="B15" s="8">
        <v>2018</v>
      </c>
      <c r="C15" s="8">
        <v>137.52000000000001</v>
      </c>
      <c r="D15" s="8">
        <v>122.76</v>
      </c>
      <c r="E15" s="9">
        <v>-5.5100000000000003E-2</v>
      </c>
      <c r="F15" s="15">
        <f>FV(E15,1,0,-F14)</f>
        <v>22346.13842862457</v>
      </c>
    </row>
    <row r="16" spans="2:6" x14ac:dyDescent="0.25">
      <c r="B16" s="8">
        <v>2019</v>
      </c>
      <c r="C16" s="8">
        <v>120.3</v>
      </c>
      <c r="D16" s="8">
        <v>158</v>
      </c>
      <c r="E16" s="9">
        <v>0.28710000000000002</v>
      </c>
      <c r="F16" s="15">
        <f>FV(E16,1,0,-F15)</f>
        <v>28761.714771482686</v>
      </c>
    </row>
    <row r="17" spans="2:6" x14ac:dyDescent="0.25">
      <c r="B17" s="8">
        <v>2020</v>
      </c>
      <c r="C17" s="8">
        <v>163.76</v>
      </c>
      <c r="D17" s="8">
        <v>188.56</v>
      </c>
      <c r="E17" s="9">
        <v>0.19339999999999999</v>
      </c>
      <c r="F17" s="15">
        <f>FV(E17,1,0,-F16)</f>
        <v>34324.23040828744</v>
      </c>
    </row>
    <row r="18" spans="2:6" x14ac:dyDescent="0.25">
      <c r="B18" s="8">
        <v>2021</v>
      </c>
      <c r="C18" s="8">
        <v>191.03</v>
      </c>
      <c r="D18" s="8">
        <v>233.55</v>
      </c>
      <c r="E18" s="9">
        <v>0.23860000000000001</v>
      </c>
      <c r="F18" s="15">
        <f>FV(E18,1,0,-F17)</f>
        <v>42513.99178370482</v>
      </c>
    </row>
    <row r="19" spans="2:6" x14ac:dyDescent="0.25">
      <c r="B19" s="8">
        <v>2022</v>
      </c>
      <c r="C19" s="8">
        <v>240.5</v>
      </c>
      <c r="D19" s="8">
        <v>187.06</v>
      </c>
      <c r="E19" s="9">
        <v>-0.1991</v>
      </c>
      <c r="F19" s="15">
        <f>FV(E19,1,0,-F18)</f>
        <v>34049.456019569188</v>
      </c>
    </row>
    <row r="20" spans="2:6" x14ac:dyDescent="0.25">
      <c r="B20" s="8">
        <v>2023</v>
      </c>
      <c r="C20" s="8">
        <v>188.59</v>
      </c>
      <c r="D20" s="8">
        <v>232.01</v>
      </c>
      <c r="E20" s="9">
        <v>0.24030000000000001</v>
      </c>
      <c r="F20" s="15">
        <f>FV(E20,1,0,-F19)</f>
        <v>42231.540301071662</v>
      </c>
    </row>
    <row r="21" spans="2:6" x14ac:dyDescent="0.25">
      <c r="B21" s="8">
        <v>2024</v>
      </c>
      <c r="C21" s="8">
        <v>232.06</v>
      </c>
      <c r="D21" s="8">
        <v>266.01</v>
      </c>
      <c r="E21" s="9">
        <v>0.14649999999999999</v>
      </c>
      <c r="F21" s="15">
        <f>FV(E21,1,0,-F20)</f>
        <v>48418.460955178663</v>
      </c>
    </row>
    <row r="22" spans="2:6" x14ac:dyDescent="0.25">
      <c r="B22" s="8">
        <v>2025</v>
      </c>
      <c r="C22" s="8">
        <v>266.3</v>
      </c>
      <c r="D22" s="8">
        <v>335.27</v>
      </c>
      <c r="E22" s="9">
        <v>0.26040000000000002</v>
      </c>
      <c r="F22" s="15">
        <f>FV(E22,1,0,-F21)</f>
        <v>61026.628187907183</v>
      </c>
    </row>
    <row r="23" spans="2:6" x14ac:dyDescent="0.25">
      <c r="B23" s="8">
        <v>2026</v>
      </c>
      <c r="C23" s="8">
        <v>337.2</v>
      </c>
      <c r="D23" s="8">
        <v>343.37</v>
      </c>
      <c r="E23" s="9">
        <v>2.4199999999999999E-2</v>
      </c>
      <c r="F23" s="15">
        <f>FV(E23,1,0,-F22)</f>
        <v>62503.472590054538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"/>
  <sheetViews>
    <sheetView workbookViewId="0">
      <selection activeCell="F5" sqref="F5"/>
    </sheetView>
  </sheetViews>
  <sheetFormatPr defaultColWidth="12.6640625" defaultRowHeight="15.75" customHeight="1" x14ac:dyDescent="0.25"/>
  <cols>
    <col min="4" max="4" width="24.21875" customWidth="1"/>
    <col min="6" max="6" width="13.33203125" bestFit="1" customWidth="1"/>
    <col min="7" max="7" width="32.77734375" style="6" bestFit="1" customWidth="1"/>
    <col min="8" max="8" width="8" bestFit="1" customWidth="1"/>
    <col min="9" max="11" width="7" bestFit="1" customWidth="1"/>
    <col min="12" max="13" width="6.33203125" bestFit="1" customWidth="1"/>
    <col min="14" max="27" width="7.33203125" bestFit="1" customWidth="1"/>
    <col min="28" max="28" width="11.33203125" bestFit="1" customWidth="1"/>
  </cols>
  <sheetData>
    <row r="1" spans="1:7" ht="13.2" x14ac:dyDescent="0.25">
      <c r="A1" s="5" t="s">
        <v>2</v>
      </c>
      <c r="B1" s="5" t="s">
        <v>3</v>
      </c>
      <c r="C1" s="5" t="s">
        <v>4</v>
      </c>
      <c r="D1" s="5" t="s">
        <v>5</v>
      </c>
    </row>
    <row r="2" spans="1:7" ht="13.2" x14ac:dyDescent="0.25">
      <c r="A2" s="1">
        <v>2006</v>
      </c>
      <c r="B2" s="1">
        <v>55.03</v>
      </c>
      <c r="C2" s="1">
        <v>63.45</v>
      </c>
      <c r="D2" s="2">
        <v>0.15509999999999999</v>
      </c>
      <c r="F2" s="3" t="s">
        <v>0</v>
      </c>
      <c r="G2" s="13" t="s">
        <v>9</v>
      </c>
    </row>
    <row r="3" spans="1:7" ht="13.2" x14ac:dyDescent="0.25">
      <c r="A3" s="1">
        <v>2007</v>
      </c>
      <c r="B3" s="1">
        <v>63.8</v>
      </c>
      <c r="C3" s="1">
        <v>66.38</v>
      </c>
      <c r="D3" s="2">
        <v>4.6199999999999998E-2</v>
      </c>
      <c r="F3" s="4">
        <v>2006</v>
      </c>
      <c r="G3" s="13">
        <v>0.15509999999999999</v>
      </c>
    </row>
    <row r="4" spans="1:7" ht="13.2" x14ac:dyDescent="0.25">
      <c r="A4" s="1">
        <v>2008</v>
      </c>
      <c r="B4" s="1">
        <v>66.819999999999993</v>
      </c>
      <c r="C4" s="1">
        <v>41.57</v>
      </c>
      <c r="D4" s="2">
        <v>-0.37380000000000002</v>
      </c>
      <c r="F4" s="4">
        <v>2007</v>
      </c>
      <c r="G4" s="13">
        <v>4.6199999999999998E-2</v>
      </c>
    </row>
    <row r="5" spans="1:7" ht="13.2" x14ac:dyDescent="0.25">
      <c r="A5" s="1">
        <v>2009</v>
      </c>
      <c r="B5" s="1">
        <v>42.66</v>
      </c>
      <c r="C5" s="1">
        <v>52.42</v>
      </c>
      <c r="D5" s="2">
        <v>0.26100000000000001</v>
      </c>
      <c r="F5" s="4">
        <v>2008</v>
      </c>
      <c r="G5" s="13">
        <v>-0.37380000000000002</v>
      </c>
    </row>
    <row r="6" spans="1:7" ht="13.2" x14ac:dyDescent="0.25">
      <c r="A6" s="1">
        <v>2010</v>
      </c>
      <c r="B6" s="1">
        <v>53.07</v>
      </c>
      <c r="C6" s="1">
        <v>60.34</v>
      </c>
      <c r="D6" s="2">
        <v>0.15110000000000001</v>
      </c>
      <c r="F6" s="4">
        <v>2009</v>
      </c>
      <c r="G6" s="13">
        <v>0.26100000000000001</v>
      </c>
    </row>
    <row r="7" spans="1:7" ht="13.2" x14ac:dyDescent="0.25">
      <c r="A7" s="1">
        <v>2011</v>
      </c>
      <c r="B7" s="1">
        <v>61.42</v>
      </c>
      <c r="C7" s="1">
        <v>60.27</v>
      </c>
      <c r="D7" s="2">
        <v>-1.1999999999999999E-3</v>
      </c>
      <c r="F7" s="4">
        <v>2010</v>
      </c>
      <c r="G7" s="13">
        <v>0.15110000000000001</v>
      </c>
    </row>
    <row r="8" spans="1:7" ht="13.2" x14ac:dyDescent="0.25">
      <c r="A8" s="1">
        <v>2012</v>
      </c>
      <c r="B8" s="1">
        <v>61.27</v>
      </c>
      <c r="C8" s="1">
        <v>68.64</v>
      </c>
      <c r="D8" s="2">
        <v>0.13880000000000001</v>
      </c>
      <c r="F8" s="4">
        <v>2011</v>
      </c>
      <c r="G8" s="13">
        <v>-1.1999999999999999E-3</v>
      </c>
    </row>
    <row r="9" spans="1:7" ht="13.2" x14ac:dyDescent="0.25">
      <c r="A9" s="1">
        <v>2013</v>
      </c>
      <c r="B9" s="1">
        <v>70.38</v>
      </c>
      <c r="C9" s="1">
        <v>90.14</v>
      </c>
      <c r="D9" s="2">
        <v>0.31330000000000002</v>
      </c>
      <c r="F9" s="4">
        <v>2012</v>
      </c>
      <c r="G9" s="13">
        <v>0.13880000000000001</v>
      </c>
    </row>
    <row r="10" spans="1:7" ht="13.2" x14ac:dyDescent="0.25">
      <c r="A10" s="1">
        <v>2014</v>
      </c>
      <c r="B10" s="1">
        <v>91.95</v>
      </c>
      <c r="C10" s="1">
        <v>99.7</v>
      </c>
      <c r="D10" s="2">
        <v>0.106</v>
      </c>
      <c r="F10" s="4">
        <v>2013</v>
      </c>
      <c r="G10" s="13">
        <v>0.31330000000000002</v>
      </c>
    </row>
    <row r="11" spans="1:7" ht="13.2" x14ac:dyDescent="0.25">
      <c r="A11" s="1">
        <v>2015</v>
      </c>
      <c r="B11" s="1">
        <v>106</v>
      </c>
      <c r="C11" s="1">
        <v>98.52</v>
      </c>
      <c r="D11" s="2">
        <v>-1.18E-2</v>
      </c>
      <c r="F11" s="4">
        <v>2014</v>
      </c>
      <c r="G11" s="13">
        <v>0.106</v>
      </c>
    </row>
    <row r="12" spans="1:7" ht="13.2" x14ac:dyDescent="0.25">
      <c r="A12" s="1">
        <v>2016</v>
      </c>
      <c r="B12" s="1">
        <v>104.38</v>
      </c>
      <c r="C12" s="1">
        <v>108.87</v>
      </c>
      <c r="D12" s="2">
        <v>0.1051</v>
      </c>
      <c r="F12" s="4">
        <v>2015</v>
      </c>
      <c r="G12" s="13">
        <v>-1.18E-2</v>
      </c>
    </row>
    <row r="13" spans="1:7" ht="13.2" x14ac:dyDescent="0.25">
      <c r="A13" s="1">
        <v>2017</v>
      </c>
      <c r="B13" s="1">
        <v>110.45</v>
      </c>
      <c r="C13" s="1">
        <v>129.91999999999999</v>
      </c>
      <c r="D13" s="2">
        <v>0.1933</v>
      </c>
      <c r="F13" s="4">
        <v>2016</v>
      </c>
      <c r="G13" s="13">
        <v>0.1051</v>
      </c>
    </row>
    <row r="14" spans="1:7" ht="13.2" x14ac:dyDescent="0.25">
      <c r="A14" s="1">
        <v>2018</v>
      </c>
      <c r="B14" s="1">
        <v>137.52000000000001</v>
      </c>
      <c r="C14" s="1">
        <v>122.76</v>
      </c>
      <c r="D14" s="2">
        <v>-5.5100000000000003E-2</v>
      </c>
      <c r="F14" s="4">
        <v>2017</v>
      </c>
      <c r="G14" s="13">
        <v>0.1933</v>
      </c>
    </row>
    <row r="15" spans="1:7" ht="13.2" x14ac:dyDescent="0.25">
      <c r="A15" s="1">
        <v>2019</v>
      </c>
      <c r="B15" s="1">
        <v>120.3</v>
      </c>
      <c r="C15" s="1">
        <v>158</v>
      </c>
      <c r="D15" s="2">
        <v>0.28710000000000002</v>
      </c>
      <c r="F15" s="4">
        <v>2018</v>
      </c>
      <c r="G15" s="13">
        <v>-5.5100000000000003E-2</v>
      </c>
    </row>
    <row r="16" spans="1:7" ht="13.2" x14ac:dyDescent="0.25">
      <c r="A16" s="1">
        <v>2020</v>
      </c>
      <c r="B16" s="1">
        <v>163.76</v>
      </c>
      <c r="C16" s="1">
        <v>188.56</v>
      </c>
      <c r="D16" s="2">
        <v>0.19339999999999999</v>
      </c>
      <c r="F16" s="4">
        <v>2019</v>
      </c>
      <c r="G16" s="13">
        <v>0.28710000000000002</v>
      </c>
    </row>
    <row r="17" spans="1:7" ht="13.2" x14ac:dyDescent="0.25">
      <c r="A17" s="1">
        <v>2021</v>
      </c>
      <c r="B17" s="1">
        <v>191.03</v>
      </c>
      <c r="C17" s="1">
        <v>233.55</v>
      </c>
      <c r="D17" s="2">
        <v>0.23860000000000001</v>
      </c>
      <c r="F17" s="4">
        <v>2020</v>
      </c>
      <c r="G17" s="13">
        <v>0.19339999999999999</v>
      </c>
    </row>
    <row r="18" spans="1:7" ht="13.2" x14ac:dyDescent="0.25">
      <c r="A18" s="1">
        <v>2022</v>
      </c>
      <c r="B18" s="1">
        <v>240.5</v>
      </c>
      <c r="C18" s="1">
        <v>187.06</v>
      </c>
      <c r="D18" s="2">
        <v>-0.1991</v>
      </c>
      <c r="F18" s="4">
        <v>2021</v>
      </c>
      <c r="G18" s="13">
        <v>0.23860000000000001</v>
      </c>
    </row>
    <row r="19" spans="1:7" ht="13.2" x14ac:dyDescent="0.25">
      <c r="A19" s="1">
        <v>2023</v>
      </c>
      <c r="B19" s="1">
        <v>188.59</v>
      </c>
      <c r="C19" s="1">
        <v>232.01</v>
      </c>
      <c r="D19" s="2">
        <v>0.24030000000000001</v>
      </c>
      <c r="F19" s="4">
        <v>2022</v>
      </c>
      <c r="G19" s="13">
        <v>-0.1991</v>
      </c>
    </row>
    <row r="20" spans="1:7" ht="13.2" x14ac:dyDescent="0.25">
      <c r="A20" s="1">
        <v>2024</v>
      </c>
      <c r="B20" s="1">
        <v>232.06</v>
      </c>
      <c r="C20" s="1">
        <v>266.01</v>
      </c>
      <c r="D20" s="2">
        <v>0.14649999999999999</v>
      </c>
      <c r="F20" s="4">
        <v>2023</v>
      </c>
      <c r="G20" s="13">
        <v>0.24030000000000001</v>
      </c>
    </row>
    <row r="21" spans="1:7" ht="13.2" x14ac:dyDescent="0.25">
      <c r="A21" s="1">
        <v>2025</v>
      </c>
      <c r="B21" s="1">
        <v>266.3</v>
      </c>
      <c r="C21" s="1">
        <v>335.27</v>
      </c>
      <c r="D21" s="2">
        <v>0.26040000000000002</v>
      </c>
      <c r="F21" s="4">
        <v>2024</v>
      </c>
      <c r="G21" s="13">
        <v>0.14649999999999999</v>
      </c>
    </row>
    <row r="22" spans="1:7" ht="13.2" x14ac:dyDescent="0.25">
      <c r="A22" s="1">
        <v>2026</v>
      </c>
      <c r="B22" s="1">
        <v>337.2</v>
      </c>
      <c r="C22" s="1">
        <v>343.37</v>
      </c>
      <c r="D22" s="2">
        <v>2.4199999999999999E-2</v>
      </c>
      <c r="F22" s="4">
        <v>2025</v>
      </c>
      <c r="G22" s="13">
        <v>0.26040000000000002</v>
      </c>
    </row>
    <row r="23" spans="1:7" ht="15.75" customHeight="1" x14ac:dyDescent="0.25">
      <c r="F23" s="4">
        <v>2026</v>
      </c>
      <c r="G23" s="13">
        <v>2.4199999999999999E-2</v>
      </c>
    </row>
    <row r="24" spans="1:7" ht="15.75" customHeight="1" x14ac:dyDescent="0.25">
      <c r="F24" s="4" t="s">
        <v>1</v>
      </c>
      <c r="G24" s="13">
        <v>0.1056857142857143</v>
      </c>
    </row>
  </sheetData>
  <sortState xmlns:xlrd2="http://schemas.microsoft.com/office/spreadsheetml/2017/richdata2" ref="A2:D21">
    <sortCondition ref="A2:A21"/>
  </sortState>
  <conditionalFormatting sqref="D2:D22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A8C7-074D-419A-8FED-3ADF2FE5D915}">
  <dimension ref="A2:V8"/>
  <sheetViews>
    <sheetView tabSelected="1" workbookViewId="0">
      <selection activeCell="H29" sqref="H29"/>
    </sheetView>
  </sheetViews>
  <sheetFormatPr defaultRowHeight="13.2" x14ac:dyDescent="0.25"/>
  <cols>
    <col min="1" max="1" width="10.6640625" bestFit="1" customWidth="1"/>
    <col min="2" max="2" width="11.44140625" bestFit="1" customWidth="1"/>
  </cols>
  <sheetData>
    <row r="2" spans="1:22" x14ac:dyDescent="0.25">
      <c r="A2" s="10" t="s">
        <v>10</v>
      </c>
      <c r="B2" s="12">
        <v>10000</v>
      </c>
    </row>
    <row r="3" spans="1:22" x14ac:dyDescent="0.25">
      <c r="A3" s="7"/>
    </row>
    <row r="4" spans="1:22" x14ac:dyDescent="0.25">
      <c r="A4" s="10" t="s">
        <v>2</v>
      </c>
      <c r="B4" s="8">
        <v>2006</v>
      </c>
      <c r="C4" s="8">
        <v>2007</v>
      </c>
      <c r="D4" s="8">
        <v>2008</v>
      </c>
      <c r="E4" s="8">
        <v>2009</v>
      </c>
      <c r="F4" s="8">
        <v>2010</v>
      </c>
      <c r="G4" s="8">
        <v>2011</v>
      </c>
      <c r="H4" s="8">
        <v>2012</v>
      </c>
      <c r="I4" s="8">
        <v>2013</v>
      </c>
      <c r="J4" s="8">
        <v>2014</v>
      </c>
      <c r="K4" s="8">
        <v>2015</v>
      </c>
      <c r="L4" s="8">
        <v>2016</v>
      </c>
      <c r="M4" s="8">
        <v>2017</v>
      </c>
      <c r="N4" s="8">
        <v>2018</v>
      </c>
      <c r="O4" s="8">
        <v>2019</v>
      </c>
      <c r="P4" s="8">
        <v>2020</v>
      </c>
      <c r="Q4" s="8">
        <v>2021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</row>
    <row r="5" spans="1:22" x14ac:dyDescent="0.25">
      <c r="A5" s="10" t="s">
        <v>6</v>
      </c>
      <c r="B5" s="11">
        <v>0.15509999999999999</v>
      </c>
      <c r="C5" s="11">
        <v>4.6199999999999998E-2</v>
      </c>
      <c r="D5" s="11">
        <v>-0.37380000000000002</v>
      </c>
      <c r="E5" s="11">
        <v>0.26100000000000001</v>
      </c>
      <c r="F5" s="11">
        <v>0.15110000000000001</v>
      </c>
      <c r="G5" s="11">
        <v>-1.1999999999999999E-3</v>
      </c>
      <c r="H5" s="11">
        <v>0.13880000000000001</v>
      </c>
      <c r="I5" s="11">
        <v>0.31330000000000002</v>
      </c>
      <c r="J5" s="11">
        <v>0.106</v>
      </c>
      <c r="K5" s="11">
        <v>-1.18E-2</v>
      </c>
      <c r="L5" s="11">
        <v>0.1051</v>
      </c>
      <c r="M5" s="11">
        <v>0.1933</v>
      </c>
      <c r="N5" s="11">
        <v>-5.5100000000000003E-2</v>
      </c>
      <c r="O5" s="11">
        <v>0.28710000000000002</v>
      </c>
      <c r="P5" s="11">
        <v>0.19339999999999999</v>
      </c>
      <c r="Q5" s="11">
        <v>0.23860000000000001</v>
      </c>
      <c r="R5" s="11">
        <v>-0.1991</v>
      </c>
      <c r="S5" s="11">
        <v>0.24030000000000001</v>
      </c>
      <c r="T5" s="11">
        <v>0.14649999999999999</v>
      </c>
      <c r="U5" s="11">
        <v>0.26040000000000002</v>
      </c>
      <c r="V5" s="11">
        <v>2.4199999999999999E-2</v>
      </c>
    </row>
    <row r="6" spans="1:22" x14ac:dyDescent="0.25">
      <c r="A6" s="7"/>
    </row>
    <row r="7" spans="1:22" x14ac:dyDescent="0.25">
      <c r="A7" s="10" t="s">
        <v>7</v>
      </c>
      <c r="B7" s="12" cm="1">
        <f t="array" ref="B7">B2*PRODUCT(1+$B$5:$V$5)</f>
        <v>62503.472590054553</v>
      </c>
    </row>
    <row r="8" spans="1:22" x14ac:dyDescent="0.25">
      <c r="A8" s="10" t="s">
        <v>8</v>
      </c>
      <c r="B8" s="12">
        <f>B7-B2</f>
        <v>52503.472590054553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Start</vt:lpstr>
      <vt:lpstr>VTI Performance</vt:lpstr>
      <vt:lpstr>Investment example</vt:lpstr>
      <vt:lpstr>Chart of Close 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Rider Novas</dc:creator>
  <cp:lastModifiedBy>Rider Novas</cp:lastModifiedBy>
  <dcterms:created xsi:type="dcterms:W3CDTF">2026-01-31T04:30:31Z</dcterms:created>
  <dcterms:modified xsi:type="dcterms:W3CDTF">2026-02-13T02:47:29Z</dcterms:modified>
</cp:coreProperties>
</file>